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roseanenava/Documents/- BIOINFORMATICA - USP /GITHUB/"/>
    </mc:Choice>
  </mc:AlternateContent>
  <xr:revisionPtr revIDLastSave="0" documentId="13_ncr:1_{1D7BBBD0-3731-1945-899C-EC71BBF82CF3}" xr6:coauthVersionLast="47" xr6:coauthVersionMax="47" xr10:uidLastSave="{00000000-0000-0000-0000-000000000000}"/>
  <bookViews>
    <workbookView xWindow="7500" yWindow="740" windowWidth="21300" windowHeight="17140" firstSheet="4" activeTab="6" xr2:uid="{C89112D7-BA20-8E4E-A0DA-EEA9F3994FA7}"/>
  </bookViews>
  <sheets>
    <sheet name="Table 1" sheetId="42" r:id="rId1"/>
    <sheet name="Figure References" sheetId="45" r:id="rId2"/>
    <sheet name="Supplementary Table S1" sheetId="36" r:id="rId3"/>
    <sheet name="Supplementary Table S2" sheetId="34" r:id="rId4"/>
    <sheet name="Supplementary Table S3" sheetId="37" r:id="rId5"/>
    <sheet name="kappa" sheetId="38" r:id="rId6"/>
    <sheet name="GRADE Evidence Profile" sheetId="48" r:id="rId7"/>
    <sheet name="MDDxHC" sheetId="23" r:id="rId8"/>
    <sheet name="Planilha1" sheetId="1" state="hidden" r:id="rId9"/>
    <sheet name="PLANILHA ARTIGO" sheetId="21" state="hidden" r:id="rId10"/>
    <sheet name="CYTOKINES" sheetId="22" state="hidden" r:id="rId11"/>
    <sheet name="AFTERxBEFORE" sheetId="39" r:id="rId12"/>
    <sheet name="MDDxHC IL-1B" sheetId="24" r:id="rId13"/>
    <sheet name="MDDxHC IL-2" sheetId="25" r:id="rId14"/>
    <sheet name="MDDxHC IL-4" sheetId="26" r:id="rId15"/>
    <sheet name="MDDxHC IL-5" sheetId="27" r:id="rId16"/>
    <sheet name="MDDxHC IL-6" sheetId="28" r:id="rId17"/>
    <sheet name="MDDxHC IL-8" sheetId="29" r:id="rId18"/>
    <sheet name="MDDxHC IL-10" sheetId="30" r:id="rId19"/>
    <sheet name="MDDxHC IL-13" sheetId="31" r:id="rId20"/>
    <sheet name="MDDxHC IFN-γ" sheetId="32" r:id="rId21"/>
    <sheet name="MDDxHC TNF-a" sheetId="33" r:id="rId22"/>
    <sheet name="AFTERxBEFORE IL-1B" sheetId="8" r:id="rId23"/>
    <sheet name="AFTERxBEFORE IL-2" sheetId="5" r:id="rId24"/>
    <sheet name="AFTERxBEFORE IL-4" sheetId="9" r:id="rId25"/>
    <sheet name="AFTERxBEFORE IL-5" sheetId="13" r:id="rId26"/>
    <sheet name="AFTERxBEFORE IL-6" sheetId="3" r:id="rId27"/>
    <sheet name="AFTERxBEFORE IL-8" sheetId="14" r:id="rId28"/>
    <sheet name="AFTERxBEFORE IL-10" sheetId="15" r:id="rId29"/>
    <sheet name="AFTERxBEFORE IL-13" sheetId="20" r:id="rId30"/>
    <sheet name="MIP-1a" sheetId="18" state="hidden" r:id="rId31"/>
    <sheet name="GM-CSF" sheetId="17" state="hidden" r:id="rId32"/>
    <sheet name="EOTAXIN-1" sheetId="19" state="hidden" r:id="rId33"/>
    <sheet name="CRP" sheetId="12" state="hidden" r:id="rId34"/>
    <sheet name="AFTERxBEFORE TNF-a" sheetId="10" r:id="rId35"/>
    <sheet name="AFTERxBEFORE IFN-γ" sheetId="11" r:id="rId36"/>
  </sheets>
  <definedNames>
    <definedName name="_xlnm._FilterDatabase" localSheetId="10" hidden="1">CYTOKINES!$A$1:$I$91</definedName>
    <definedName name="_xlnm._FilterDatabase" localSheetId="8" hidden="1">Planilha1!$A$1:$L$131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34" l="1"/>
</calcChain>
</file>

<file path=xl/sharedStrings.xml><?xml version="1.0" encoding="utf-8"?>
<sst xmlns="http://schemas.openxmlformats.org/spreadsheetml/2006/main" count="7312" uniqueCount="1697">
  <si>
    <t>Kim  et al., 2007</t>
  </si>
  <si>
    <t>IFN-γ</t>
  </si>
  <si>
    <t>IL-2</t>
  </si>
  <si>
    <t>IL-4</t>
  </si>
  <si>
    <t>IL-6</t>
  </si>
  <si>
    <t>TNF-α</t>
  </si>
  <si>
    <t>TGF-β1</t>
  </si>
  <si>
    <t>444.13 ± 323.63</t>
  </si>
  <si>
    <t>118.04 ± 166.55</t>
  </si>
  <si>
    <t>76.96 ± 60.48</t>
  </si>
  <si>
    <t>442.90 ± 124.71</t>
  </si>
  <si>
    <t>751.66 ± 312.31</t>
  </si>
  <si>
    <t>949.44 ± 427.11</t>
  </si>
  <si>
    <t>352.51 ± 300.37</t>
  </si>
  <si>
    <t>102.93 ± 211.28</t>
  </si>
  <si>
    <t>77.21 ± 65.70</t>
  </si>
  <si>
    <t>408.31 ± 136.26</t>
  </si>
  <si>
    <t>731.31 ± 269.20</t>
  </si>
  <si>
    <t>791.57 ± 365.19</t>
  </si>
  <si>
    <t>.057</t>
  </si>
  <si>
    <t>.030</t>
  </si>
  <si>
    <t>.975</t>
  </si>
  <si>
    <t>.022</t>
  </si>
  <si>
    <t>.497</t>
  </si>
  <si>
    <t>.001</t>
  </si>
  <si>
    <t>Study</t>
  </si>
  <si>
    <t>Cytokine(s) assessed</t>
  </si>
  <si>
    <t>Before treatment</t>
  </si>
  <si>
    <t>After treatment</t>
  </si>
  <si>
    <t>p</t>
  </si>
  <si>
    <t>Himmerich et al., 2010</t>
  </si>
  <si>
    <t>SSRIs (n = 8)</t>
  </si>
  <si>
    <t>1141.62 ± 850.53</t>
  </si>
  <si>
    <t>6439.88 ± 3259.18</t>
  </si>
  <si>
    <t>668.44 ± 659.31</t>
  </si>
  <si>
    <t>947.94 ± 685.72</t>
  </si>
  <si>
    <t>5490.88 ± 2425.69</t>
  </si>
  <si>
    <t>357.38 ± 435.42</t>
  </si>
  <si>
    <t>0.049</t>
  </si>
  <si>
    <t>0.039</t>
  </si>
  <si>
    <t>0.112</t>
  </si>
  <si>
    <t>Gadad et al., 2017</t>
  </si>
  <si>
    <t>27.19 ± 44.87</t>
  </si>
  <si>
    <t>5.0 ± 0.6</t>
  </si>
  <si>
    <t>3.38 ± 1.29</t>
  </si>
  <si>
    <t>101.92 ± 29.92</t>
  </si>
  <si>
    <t>75.94 ± 26.98</t>
  </si>
  <si>
    <t>95.07 ± 28.86</t>
  </si>
  <si>
    <t>252.17 ± 105.34</t>
  </si>
  <si>
    <t>19.95 ± 19.19</t>
  </si>
  <si>
    <t>25.57 ± 10.71</t>
  </si>
  <si>
    <t>11.09 ± 7.07</t>
  </si>
  <si>
    <t>672.54 ± 969.82</t>
  </si>
  <si>
    <t>8.9 ± 2.45</t>
  </si>
  <si>
    <t>63.57 ± 18.32</t>
  </si>
  <si>
    <t>17.16 ± 8.91</t>
  </si>
  <si>
    <t>47.08 ± 90.21</t>
  </si>
  <si>
    <t>35.37 ± 81.44</t>
  </si>
  <si>
    <t>486.53 ± 289.3</t>
  </si>
  <si>
    <t>9.37 ± 5.66</t>
  </si>
  <si>
    <t>90.9 ± 44.88</t>
  </si>
  <si>
    <t>1580.79 ± 1217.01</t>
  </si>
  <si>
    <t>9944.47 ± 2417.93</t>
  </si>
  <si>
    <t>109.62  ± 34.38</t>
  </si>
  <si>
    <t>32.51 ± 44.33</t>
  </si>
  <si>
    <t>4.4 ± 0.57</t>
  </si>
  <si>
    <t>2.51 ± 1.22</t>
  </si>
  <si>
    <t>106.89 ± 29.02</t>
  </si>
  <si>
    <t>86.02 ± 39.19</t>
  </si>
  <si>
    <t>93.83 ± 24.75</t>
  </si>
  <si>
    <t>221.99 ± 73.21</t>
  </si>
  <si>
    <t>15.89 ± 18.09</t>
  </si>
  <si>
    <t>26.18 ± 11.03</t>
  </si>
  <si>
    <t>11.33 ± 5.49</t>
  </si>
  <si>
    <t>618.24 ± 423.24</t>
  </si>
  <si>
    <t>8.39 ± 2.22</t>
  </si>
  <si>
    <t>55.05 ± 13.12</t>
  </si>
  <si>
    <t>16.4 ± 6.12</t>
  </si>
  <si>
    <t>37.44 ± 45.96</t>
  </si>
  <si>
    <t>24.25 ± 18.29</t>
  </si>
  <si>
    <t>580.62 ± 658.12</t>
  </si>
  <si>
    <t>9.92 ± 6.53</t>
  </si>
  <si>
    <t>86.77 ± 41.48</t>
  </si>
  <si>
    <t>1485.12 ± 1164.2</t>
  </si>
  <si>
    <t>9221.38 ± 2056</t>
  </si>
  <si>
    <t>114.05 ± 27.45</t>
  </si>
  <si>
    <t>&lt; 0.0001</t>
  </si>
  <si>
    <t>&lt; 0.05</t>
  </si>
  <si>
    <t>0.03</t>
  </si>
  <si>
    <t>&lt; 0.10</t>
  </si>
  <si>
    <t>&lt; 0.06</t>
  </si>
  <si>
    <t>Jha et al., 2017</t>
  </si>
  <si>
    <t>IL-17</t>
  </si>
  <si>
    <t>3.36 ± 2, 157</t>
  </si>
  <si>
    <t>0.037</t>
  </si>
  <si>
    <t>Ricken et al., 2018</t>
  </si>
  <si>
    <t>lithium</t>
  </si>
  <si>
    <t>IL-8</t>
  </si>
  <si>
    <t>IL-10</t>
  </si>
  <si>
    <t>GMCSF</t>
  </si>
  <si>
    <t>53.84 ± 115.89</t>
  </si>
  <si>
    <t>25.77 ± 23.49</t>
  </si>
  <si>
    <t>54.86 ± 109.72</t>
  </si>
  <si>
    <t>79.62 ± 98.85</t>
  </si>
  <si>
    <t>28.56 ± 15.18</t>
  </si>
  <si>
    <t>29.17 ± 16.22</t>
  </si>
  <si>
    <t>52.78 ± 114.23</t>
  </si>
  <si>
    <t>24.05 ± 6.30</t>
  </si>
  <si>
    <t>62.92 ± 16.77</t>
  </si>
  <si>
    <t>110.74 ± 304.88</t>
  </si>
  <si>
    <t>113.39 ± 248.35</t>
  </si>
  <si>
    <t>29.88 ± 20.68</t>
  </si>
  <si>
    <t>30.75 ± 30.07</t>
  </si>
  <si>
    <t>72.39 ± 52.02</t>
  </si>
  <si>
    <t>p &gt; 0.05**</t>
  </si>
  <si>
    <t>p = 0.081**</t>
  </si>
  <si>
    <t>Xu et al., 2023</t>
  </si>
  <si>
    <t>IL-5</t>
  </si>
  <si>
    <t>IL-8 (CXCL8)</t>
  </si>
  <si>
    <t>IL-12 (IL-23 p40)</t>
  </si>
  <si>
    <t>IL-12 p70</t>
  </si>
  <si>
    <t>IL-13</t>
  </si>
  <si>
    <t>IL-15</t>
  </si>
  <si>
    <t>IL-16</t>
  </si>
  <si>
    <t>CCL3 (MIP-1α)</t>
  </si>
  <si>
    <t>CCL4 (MIP-1β)</t>
  </si>
  <si>
    <t>CCL11 (Eotaxin)</t>
  </si>
  <si>
    <t>CCL17 (TRAC)</t>
  </si>
  <si>
    <t>CXCL10 (IP-10/ CRG-2)</t>
  </si>
  <si>
    <t>VEGF-C</t>
  </si>
  <si>
    <t>TNF-β (Lymphotoxin)</t>
  </si>
  <si>
    <t>FGF basic (FGF2/ bFGF)</t>
  </si>
  <si>
    <t>TSLP</t>
  </si>
  <si>
    <t>PIGF</t>
  </si>
  <si>
    <t>BDNF</t>
  </si>
  <si>
    <t>NE</t>
  </si>
  <si>
    <t>DA</t>
  </si>
  <si>
    <t>5-HT</t>
  </si>
  <si>
    <t>9.48 ± 1.07</t>
  </si>
  <si>
    <t>33.83 ± 4.11</t>
  </si>
  <si>
    <t>32.89 ± 3.92</t>
  </si>
  <si>
    <t>2.00 ± 0.10</t>
  </si>
  <si>
    <t>11.42 ± 2.26</t>
  </si>
  <si>
    <t>569.48 ± 91.57</t>
  </si>
  <si>
    <t>3.16 ± 0.41</t>
  </si>
  <si>
    <t>228.12 ± 9.39</t>
  </si>
  <si>
    <t>39.94 ± 6.48</t>
  </si>
  <si>
    <t>241.83 ± 6.23</t>
  </si>
  <si>
    <t>4.01 ± 0.36</t>
  </si>
  <si>
    <t>170.57 ± 9.01</t>
  </si>
  <si>
    <t>603.71 ± 77.07</t>
  </si>
  <si>
    <t>471.30 ± 51.78</t>
  </si>
  <si>
    <t>115.10 ± 6.81</t>
  </si>
  <si>
    <t>327.17 ± 20.10</t>
  </si>
  <si>
    <t>19.25 ± 0.87</t>
  </si>
  <si>
    <t>1727.24 ± 76.39</t>
  </si>
  <si>
    <t>4.63 ± 0.39</t>
  </si>
  <si>
    <t>2.64 ± 0.12</t>
  </si>
  <si>
    <t>10.00 ± 0.98</t>
  </si>
  <si>
    <t>1.09 ± 0.04</t>
  </si>
  <si>
    <t>2.22 ± 0.10</t>
  </si>
  <si>
    <t>21613.67 ± 612.52</t>
  </si>
  <si>
    <t>209.49 ± 7.90</t>
  </si>
  <si>
    <t>122968.54 ± 2165.93</t>
  </si>
  <si>
    <t>131865.88 ± 6209.74</t>
  </si>
  <si>
    <t>8.39 ± 0.95</t>
  </si>
  <si>
    <t>27.69 ± 3.58</t>
  </si>
  <si>
    <t>28.27 ± 3.06</t>
  </si>
  <si>
    <t>3.73 ± 0.12</t>
  </si>
  <si>
    <t>7.54 ± 1.27</t>
  </si>
  <si>
    <t>375.28 ± 80.91</t>
  </si>
  <si>
    <t>3.75 ± 0.78</t>
  </si>
  <si>
    <t>184.63 ± 15.68</t>
  </si>
  <si>
    <t>22.87 ± 5.28</t>
  </si>
  <si>
    <t>255.59 ± 8.07</t>
  </si>
  <si>
    <t>3.69 ± 0.52</t>
  </si>
  <si>
    <t>229.80 ± 23.81</t>
  </si>
  <si>
    <t>447.55 ± 67.39</t>
  </si>
  <si>
    <t>369.96 ± 37.16</t>
  </si>
  <si>
    <t>127.24 ± 8.21</t>
  </si>
  <si>
    <t>393.94 ± 32.67</t>
  </si>
  <si>
    <t>23.37 ± 1.40</t>
  </si>
  <si>
    <t>1610.04 ± 70.56</t>
  </si>
  <si>
    <t>5.28 ± 0.34</t>
  </si>
  <si>
    <t>3.02 ± 0.11</t>
  </si>
  <si>
    <t>12.40 ± 1.47</t>
  </si>
  <si>
    <t>0.24 ± 0.05</t>
  </si>
  <si>
    <t>9.12 ± 1.33</t>
  </si>
  <si>
    <t>22148.67 ± 807.67</t>
  </si>
  <si>
    <t>226.68 ± 7.10</t>
  </si>
  <si>
    <t>138942.57 ± 2090.31</t>
  </si>
  <si>
    <t>165823.04 ± 6412.82</t>
  </si>
  <si>
    <t>0.510</t>
  </si>
  <si>
    <t>0.227</t>
  </si>
  <si>
    <t>0.240</t>
  </si>
  <si>
    <t>&lt;0.001</t>
  </si>
  <si>
    <t>0.246</t>
  </si>
  <si>
    <t>0.100</t>
  </si>
  <si>
    <t>0.481</t>
  </si>
  <si>
    <t>0.001</t>
  </si>
  <si>
    <t>0.054</t>
  </si>
  <si>
    <t>0.073</t>
  </si>
  <si>
    <t>0.586</t>
  </si>
  <si>
    <t>0.008</t>
  </si>
  <si>
    <t>0.123</t>
  </si>
  <si>
    <t>0.087</t>
  </si>
  <si>
    <t>0.203</t>
  </si>
  <si>
    <t>0.018</t>
  </si>
  <si>
    <t>0.003</t>
  </si>
  <si>
    <t>0.014</t>
  </si>
  <si>
    <t>0.133</t>
  </si>
  <si>
    <t>0.002</t>
  </si>
  <si>
    <t>0.071</t>
  </si>
  <si>
    <t>0.601</t>
  </si>
  <si>
    <t>0.098</t>
  </si>
  <si>
    <t>estudo</t>
  </si>
  <si>
    <t xml:space="preserve">5490.88 </t>
  </si>
  <si>
    <t>7.54</t>
  </si>
  <si>
    <t xml:space="preserve">6439.88 </t>
  </si>
  <si>
    <t xml:space="preserve">17.16 </t>
  </si>
  <si>
    <t xml:space="preserve">54.86 </t>
  </si>
  <si>
    <t>11.42</t>
  </si>
  <si>
    <t>ne</t>
  </si>
  <si>
    <t>me</t>
  </si>
  <si>
    <t>sde</t>
  </si>
  <si>
    <t>nc</t>
  </si>
  <si>
    <t>mc</t>
  </si>
  <si>
    <t>sdc</t>
  </si>
  <si>
    <t>53.84</t>
  </si>
  <si>
    <t xml:space="preserve">52.78 </t>
  </si>
  <si>
    <t xml:space="preserve">33.83 </t>
  </si>
  <si>
    <t>27.69</t>
  </si>
  <si>
    <t>26.18</t>
  </si>
  <si>
    <t>Bupropion (n= 2)</t>
  </si>
  <si>
    <t>Citalopram (n=12)</t>
  </si>
  <si>
    <t>Mirtazapine (n =3)</t>
  </si>
  <si>
    <t>Paroxetine (n=8)</t>
  </si>
  <si>
    <t xml:space="preserve">Venlafaxine (n=7)  </t>
  </si>
  <si>
    <t>Mirtazapine (n =5)</t>
  </si>
  <si>
    <t>Escitalopram (n= 5)</t>
  </si>
  <si>
    <t xml:space="preserve">Venlafaxine (n = 7) </t>
  </si>
  <si>
    <t>Quetiapine (n = 8)</t>
  </si>
  <si>
    <t>Escitalopram/Placebo (n=29)</t>
  </si>
  <si>
    <t>Venlafaxine/Mirtazapine (n=37)</t>
  </si>
  <si>
    <t>Bupropion/Escitalopram (n=36)</t>
  </si>
  <si>
    <t>SSRI (n=51)</t>
  </si>
  <si>
    <t>Venlafaxine/mirtazapine (6n=0)</t>
  </si>
  <si>
    <t>Bupropion/SSRI (n=55)</t>
  </si>
  <si>
    <t>Chen et al., 2018</t>
  </si>
  <si>
    <t xml:space="preserve">Paroxetine (n = 50)  </t>
  </si>
  <si>
    <t xml:space="preserve"> 0.037</t>
  </si>
  <si>
    <t>IL-1β</t>
  </si>
  <si>
    <t>GM-CSF</t>
  </si>
  <si>
    <t xml:space="preserve"> 0.047</t>
  </si>
  <si>
    <t xml:space="preserve"> 0.083</t>
  </si>
  <si>
    <t>0.135</t>
  </si>
  <si>
    <t xml:space="preserve"> 0.041*</t>
  </si>
  <si>
    <t xml:space="preserve"> 0.014</t>
  </si>
  <si>
    <t>0.282</t>
  </si>
  <si>
    <t xml:space="preserve"> 0.636</t>
  </si>
  <si>
    <t xml:space="preserve"> 0.639</t>
  </si>
  <si>
    <t>0.702</t>
  </si>
  <si>
    <t>Mikova et al., 2001</t>
  </si>
  <si>
    <t xml:space="preserve">IL-8 </t>
  </si>
  <si>
    <t>IL-2R</t>
  </si>
  <si>
    <t>CC16</t>
  </si>
  <si>
    <t>0.5</t>
  </si>
  <si>
    <t>0.6</t>
  </si>
  <si>
    <t xml:space="preserve"> 0.3</t>
  </si>
  <si>
    <t>0.97</t>
  </si>
  <si>
    <t>Myung et al., 2016</t>
  </si>
  <si>
    <t>Eotaxin</t>
  </si>
  <si>
    <t>sCD40L</t>
  </si>
  <si>
    <t>MCP-1</t>
  </si>
  <si>
    <t>135 (112.5, 178)</t>
  </si>
  <si>
    <t>24800 (8390, 47350)</t>
  </si>
  <si>
    <t>11.3 (7.9, 15.2)</t>
  </si>
  <si>
    <t>368 (261.5, 469.5)</t>
  </si>
  <si>
    <t>5.33 (3.33, 7.24)</t>
  </si>
  <si>
    <t>147 (106, 189)</t>
  </si>
  <si>
    <t>18900 (5010, 51700)</t>
  </si>
  <si>
    <t>11.15 (7.28, 14.8)</t>
  </si>
  <si>
    <t>375 (286, 518)</t>
  </si>
  <si>
    <t>5.09 (3.25, 7.72)</t>
  </si>
  <si>
    <t>0.34</t>
  </si>
  <si>
    <t>0.01</t>
  </si>
  <si>
    <t>Schmidt et al., 2016</t>
  </si>
  <si>
    <t>IL-12</t>
  </si>
  <si>
    <t xml:space="preserve">GM-CSF </t>
  </si>
  <si>
    <t>CRP</t>
  </si>
  <si>
    <t xml:space="preserve"> 0.622</t>
  </si>
  <si>
    <t xml:space="preserve"> 0.773</t>
  </si>
  <si>
    <t>0.973</t>
  </si>
  <si>
    <t>0.626</t>
  </si>
  <si>
    <t xml:space="preserve"> 0.911</t>
  </si>
  <si>
    <t>0.839</t>
  </si>
  <si>
    <t xml:space="preserve"> 0.981</t>
  </si>
  <si>
    <t xml:space="preserve"> 0.926</t>
  </si>
  <si>
    <t>0.289</t>
  </si>
  <si>
    <t>Fornaro et al., 2013</t>
  </si>
  <si>
    <t xml:space="preserve">IL-4 </t>
  </si>
  <si>
    <t xml:space="preserve">IL-10 </t>
  </si>
  <si>
    <t>Dome et al., 2012</t>
  </si>
  <si>
    <t xml:space="preserve">CRP </t>
  </si>
  <si>
    <t xml:space="preserve">VEGF </t>
  </si>
  <si>
    <t xml:space="preserve"> 1.9± 2.4</t>
  </si>
  <si>
    <t xml:space="preserve"> 2.2± 2.3</t>
  </si>
  <si>
    <t xml:space="preserve"> 0.055</t>
  </si>
  <si>
    <t xml:space="preserve"> 68.5± 55.7</t>
  </si>
  <si>
    <t>79.6± 66.8</t>
  </si>
  <si>
    <t>1.8± 4.1</t>
  </si>
  <si>
    <t>2.0± 4.8</t>
  </si>
  <si>
    <t xml:space="preserve"> 0.338</t>
  </si>
  <si>
    <t>PILETZ et al., 2009</t>
  </si>
  <si>
    <t xml:space="preserve">Venlafaxine </t>
  </si>
  <si>
    <t xml:space="preserve">IL-1b </t>
  </si>
  <si>
    <t xml:space="preserve"> CD40L</t>
  </si>
  <si>
    <t xml:space="preserve"> CRP</t>
  </si>
  <si>
    <t xml:space="preserve">MCP-1 </t>
  </si>
  <si>
    <t>Sutcigil et al., 2007</t>
  </si>
  <si>
    <t>33.45 ± 6.37</t>
  </si>
  <si>
    <t xml:space="preserve"> 19.29 ± 4.05</t>
  </si>
  <si>
    <t>&lt;.001</t>
  </si>
  <si>
    <t>3.43 ± 0.51</t>
  </si>
  <si>
    <t>6.25 ± 1.17</t>
  </si>
  <si>
    <t>16.50 ± 3.74</t>
  </si>
  <si>
    <t>10.45 ± 3.61</t>
  </si>
  <si>
    <t>77.68 ± 16.21</t>
  </si>
  <si>
    <t xml:space="preserve"> 53.85 ± 8.30</t>
  </si>
  <si>
    <t>1.52 ± 0.21</t>
  </si>
  <si>
    <t xml:space="preserve"> 2.68 ± 0.62</t>
  </si>
  <si>
    <t>84.54 ± 12.54</t>
  </si>
  <si>
    <t xml:space="preserve"> 54.79 ± 10.33</t>
  </si>
  <si>
    <t>El-Haggar et al., 2018</t>
  </si>
  <si>
    <t>Pentoxifylline</t>
  </si>
  <si>
    <t>13.22±1.60</t>
  </si>
  <si>
    <t>6.61±0.8</t>
  </si>
  <si>
    <t>0.000</t>
  </si>
  <si>
    <t xml:space="preserve">16.23±2.79 </t>
  </si>
  <si>
    <t>8.11±1.40 0</t>
  </si>
  <si>
    <t>0.025</t>
  </si>
  <si>
    <t>8.82±1.16</t>
  </si>
  <si>
    <t xml:space="preserve">5.01±0.93 </t>
  </si>
  <si>
    <t>18.00±4.74</t>
  </si>
  <si>
    <t>50.98±14.33</t>
  </si>
  <si>
    <t>9.48</t>
  </si>
  <si>
    <t>8.39</t>
  </si>
  <si>
    <t>13.0</t>
  </si>
  <si>
    <t>2.4</t>
  </si>
  <si>
    <t>Duloxetine (n = 22)         Escitalopram (n = 14)         Sertraline (n = 10)             Paroxetine (n = 7)          Fluoxetine (n =2)            Venlafaxine (n = 4).</t>
  </si>
  <si>
    <t>33.45</t>
  </si>
  <si>
    <t xml:space="preserve">16.33 </t>
  </si>
  <si>
    <t xml:space="preserve"> 7.35</t>
  </si>
  <si>
    <t>5.46</t>
  </si>
  <si>
    <t>77.21</t>
  </si>
  <si>
    <t>28.27</t>
  </si>
  <si>
    <t>32.89</t>
  </si>
  <si>
    <t>3.43</t>
  </si>
  <si>
    <t>6.25</t>
  </si>
  <si>
    <t>27.22</t>
  </si>
  <si>
    <t>Kim et al., 2007</t>
  </si>
  <si>
    <t>7.15</t>
  </si>
  <si>
    <t>114.05</t>
  </si>
  <si>
    <t>109.62</t>
  </si>
  <si>
    <t>5.28</t>
  </si>
  <si>
    <t>4.63</t>
  </si>
  <si>
    <t>77.68</t>
  </si>
  <si>
    <t>5.4</t>
  </si>
  <si>
    <t>1.8</t>
  </si>
  <si>
    <t>2.0</t>
  </si>
  <si>
    <t>15.95</t>
  </si>
  <si>
    <t>20.27</t>
  </si>
  <si>
    <t>n</t>
  </si>
  <si>
    <t>↓IL-8</t>
  </si>
  <si>
    <t>↓IL-6</t>
  </si>
  <si>
    <t>↑IL2-R</t>
  </si>
  <si>
    <t>↓CC16</t>
  </si>
  <si>
    <t>↓IFN-γ</t>
  </si>
  <si>
    <t>↓IL-2</t>
  </si>
  <si>
    <t>↑IL-4</t>
  </si>
  <si>
    <t>↓TGF-β1</t>
  </si>
  <si>
    <t>↓↑</t>
  </si>
  <si>
    <t>↓IL-12</t>
  </si>
  <si>
    <t>↓TNF-α</t>
  </si>
  <si>
    <t>↑TGF-β1</t>
  </si>
  <si>
    <t>↓MCP-1</t>
  </si>
  <si>
    <t>↑TNF-α</t>
  </si>
  <si>
    <t>↓IL-1β</t>
  </si>
  <si>
    <t>↑MCP-1</t>
  </si>
  <si>
    <t>↑ CD40L</t>
  </si>
  <si>
    <t>↑  CRP</t>
  </si>
  <si>
    <t>↓IFN-α</t>
  </si>
  <si>
    <t>SSRIs 8
SNRIs 7
Other 6
Mood stabilizers 5
Hypnotics 5
Anxiolytics 15
Antipsychotics 15</t>
  </si>
  <si>
    <t xml:space="preserve">↑  VEGF </t>
  </si>
  <si>
    <t>↑IL-1β</t>
  </si>
  <si>
    <t>↓IL-10</t>
  </si>
  <si>
    <t>↑IL-12</t>
  </si>
  <si>
    <t>↑IFN-γ</t>
  </si>
  <si>
    <t>↑Eotaxin</t>
  </si>
  <si>
    <t>↓sCD40L</t>
  </si>
  <si>
    <t>↓IL-4</t>
  </si>
  <si>
    <t>↓IL-5</t>
  </si>
  <si>
    <t>↓IL-13</t>
  </si>
  <si>
    <t xml:space="preserve">↓GM-CSF </t>
  </si>
  <si>
    <t>↓CRP</t>
  </si>
  <si>
    <t>A2m</t>
  </si>
  <si>
    <t xml:space="preserve">SerAmyP </t>
  </si>
  <si>
    <t xml:space="preserve">BASFGF </t>
  </si>
  <si>
    <t xml:space="preserve">EOTAXIN-1 </t>
  </si>
  <si>
    <t xml:space="preserve">G-CSF </t>
  </si>
  <si>
    <t xml:space="preserve">IL-13 </t>
  </si>
  <si>
    <t xml:space="preserve">IL-17A </t>
  </si>
  <si>
    <t xml:space="preserve">IL-1ra </t>
  </si>
  <si>
    <t xml:space="preserve">IL-5 </t>
  </si>
  <si>
    <t xml:space="preserve">IL-6 </t>
  </si>
  <si>
    <t xml:space="preserve">IL-9 </t>
  </si>
  <si>
    <t>MIP-1a</t>
  </si>
  <si>
    <t xml:space="preserve">MIP-1b </t>
  </si>
  <si>
    <t xml:space="preserve">PDGF-B </t>
  </si>
  <si>
    <t xml:space="preserve">RANTES </t>
  </si>
  <si>
    <t>↑A2m</t>
  </si>
  <si>
    <t xml:space="preserve">↓SerAmyP </t>
  </si>
  <si>
    <t xml:space="preserve">↑BASFGF </t>
  </si>
  <si>
    <t xml:space="preserve">↑EOTAXIN-1 </t>
  </si>
  <si>
    <t xml:space="preserve">↓G-CSF </t>
  </si>
  <si>
    <t xml:space="preserve">↓IL-13 </t>
  </si>
  <si>
    <t xml:space="preserve">↑IL-17A </t>
  </si>
  <si>
    <t xml:space="preserve">↓IL-1ra </t>
  </si>
  <si>
    <t xml:space="preserve">↓IL-4 </t>
  </si>
  <si>
    <t xml:space="preserve">↓IL-5 </t>
  </si>
  <si>
    <t xml:space="preserve">↓IL-8 </t>
  </si>
  <si>
    <t>↓IL-9</t>
  </si>
  <si>
    <t>↑IL-10</t>
  </si>
  <si>
    <t>↑MIP-1a</t>
  </si>
  <si>
    <t xml:space="preserve">↓MIP-1b </t>
  </si>
  <si>
    <t xml:space="preserve">↓PDGF-B </t>
  </si>
  <si>
    <t xml:space="preserve">↓RANTES </t>
  </si>
  <si>
    <t>↑IL-17</t>
  </si>
  <si>
    <t>↑IL-6</t>
  </si>
  <si>
    <t>↑IL-8</t>
  </si>
  <si>
    <t>↑GMCSF</t>
  </si>
  <si>
    <t>↑BDNF</t>
  </si>
  <si>
    <t>↓GM-CSF</t>
  </si>
  <si>
    <t xml:space="preserve">IL-1β </t>
  </si>
  <si>
    <t xml:space="preserve">↓IL-1β </t>
  </si>
  <si>
    <t>↑IL-8 (CXCL8)</t>
  </si>
  <si>
    <t>↓IL-12 (IL-23 p40)</t>
  </si>
  <si>
    <t>↓IL-12 p70</t>
  </si>
  <si>
    <t>↑IL-13</t>
  </si>
  <si>
    <t>↓IL-15</t>
  </si>
  <si>
    <t>↑IL-16</t>
  </si>
  <si>
    <t>↓CCL3 (MIP-1α)</t>
  </si>
  <si>
    <t>↓CCL4 (MIP-1β)</t>
  </si>
  <si>
    <t>↓CCL11 (Eotaxin)</t>
  </si>
  <si>
    <t>↑CCL17 (TRAC)</t>
  </si>
  <si>
    <t>↑CXCL10 (IP-10/ CRG-2)</t>
  </si>
  <si>
    <t>↓VEGF-C</t>
  </si>
  <si>
    <t>↑TNF-β (Lymphotoxin)</t>
  </si>
  <si>
    <t>↑FGF basic (FGF2/ bFGF)</t>
  </si>
  <si>
    <t>↓TSLP</t>
  </si>
  <si>
    <t>↑PIGF</t>
  </si>
  <si>
    <t>↑NE</t>
  </si>
  <si>
    <t>↑DA</t>
  </si>
  <si>
    <t>↑5-HT</t>
  </si>
  <si>
    <t>Sertraline</t>
  </si>
  <si>
    <t xml:space="preserve"> Clomipramine (n=8)</t>
  </si>
  <si>
    <t>Mianserin (n=1)</t>
  </si>
  <si>
    <t>Amitriptyline (n=1)</t>
  </si>
  <si>
    <t>Paroxetine (n=4)</t>
  </si>
  <si>
    <t>SSRI</t>
  </si>
  <si>
    <t xml:space="preserve"> Duloxetine</t>
  </si>
  <si>
    <t xml:space="preserve">Escitalopram (n=31),         Sertraline (n=2),                                           Paroxetine (n=11),                                          Fluoxetine (n=1)                Mirtazapine (n=21) </t>
  </si>
  <si>
    <t>SNRIs</t>
  </si>
  <si>
    <t xml:space="preserve">escitalopram (n=16),    mirtazapine (n=10)  escitalopram+mirtazapine (n=1)  escitalopram+olanzapine (n=1).    mirtazapine+agomelatina (n=1)       duloxetine (n=1) </t>
  </si>
  <si>
    <t>Mood stabilizers</t>
  </si>
  <si>
    <t>Phosphodiesterase Inhibitor</t>
  </si>
  <si>
    <t xml:space="preserve">TCA/SSRI/NaSSA
</t>
  </si>
  <si>
    <t>Antidepressant</t>
  </si>
  <si>
    <t>Drug Class</t>
  </si>
  <si>
    <t>NDRI / SSRI / SNRIs</t>
  </si>
  <si>
    <t xml:space="preserve">NDRI / SSRI / SNRIs / Atypical antipsychotics </t>
  </si>
  <si>
    <t>SSRIs / SNRIs / Mood stabilizers / Hypnotics / Anxiolytics / Antipsychotics / Others</t>
  </si>
  <si>
    <t>SSRI / NDRI</t>
  </si>
  <si>
    <t>SSRI / NDRI / Atypical antipsychotics /
SNRIs</t>
  </si>
  <si>
    <t>SSRI / SNRIs / NDRI</t>
  </si>
  <si>
    <t>SSRI / NDRI / SNRIs</t>
  </si>
  <si>
    <t>SNRIs / SSRI</t>
  </si>
  <si>
    <t xml:space="preserve"> 113 ± 188</t>
  </si>
  <si>
    <t>76 ± 100</t>
  </si>
  <si>
    <t xml:space="preserve"> 6.1 ± 8.3</t>
  </si>
  <si>
    <t xml:space="preserve"> 16.8 ± 38.9</t>
  </si>
  <si>
    <t>25.6 ± 23.0</t>
  </si>
  <si>
    <t xml:space="preserve"> 4034 ± 1768</t>
  </si>
  <si>
    <t xml:space="preserve"> 27.0 ± 18.5</t>
  </si>
  <si>
    <t xml:space="preserve"> 4508 ± 1914</t>
  </si>
  <si>
    <t>60.2 ± 46.9</t>
  </si>
  <si>
    <t xml:space="preserve"> 67.2 ± 38.1</t>
  </si>
  <si>
    <t>n=14.  23.9 ± 4.2</t>
  </si>
  <si>
    <t>n=14.   13.0 ± 3.7</t>
  </si>
  <si>
    <t>n=14.     199 ± 24</t>
  </si>
  <si>
    <t xml:space="preserve">n=14.   204 ± 13 </t>
  </si>
  <si>
    <t>n=14.  2.1 ± 0.5</t>
  </si>
  <si>
    <t>n=22.   31.6 ± 5.4</t>
  </si>
  <si>
    <t>n=22.    11.9 ± 2.4</t>
  </si>
  <si>
    <t>n=22  205 ± 19</t>
  </si>
  <si>
    <t>n=22   212 ± 10</t>
  </si>
  <si>
    <t>n=22. 3.2 ± 0.8</t>
  </si>
  <si>
    <t>15.345 ± 3.047</t>
  </si>
  <si>
    <t>5.905 ± 2.655</t>
  </si>
  <si>
    <t>19.657 ± 9.634</t>
  </si>
  <si>
    <t>9.127 ± 4.286</t>
  </si>
  <si>
    <t xml:space="preserve"> 4.473 ± 1.889</t>
  </si>
  <si>
    <t xml:space="preserve"> 2.331 ± 1.184</t>
  </si>
  <si>
    <t xml:space="preserve"> 202.566 ± 86.137</t>
  </si>
  <si>
    <t>16.326 ± 3.422</t>
  </si>
  <si>
    <t>5.451 ± 1.982</t>
  </si>
  <si>
    <t xml:space="preserve"> 19.850 ± 8.525</t>
  </si>
  <si>
    <t>8.203 ± 3.895</t>
  </si>
  <si>
    <t xml:space="preserve"> 4.983 ± 2.952</t>
  </si>
  <si>
    <t xml:space="preserve"> 2.634 ± 1.340</t>
  </si>
  <si>
    <t>168.221 ± 128.867</t>
  </si>
  <si>
    <t>16.33 ± 13.77</t>
  </si>
  <si>
    <t xml:space="preserve"> 6.08 ± 2.82</t>
  </si>
  <si>
    <t>8.40 ± 3.86</t>
  </si>
  <si>
    <t xml:space="preserve"> 6.82 ± 3.50</t>
  </si>
  <si>
    <t>43.46 ± 18.05</t>
  </si>
  <si>
    <t>11.37 ± 4.60</t>
  </si>
  <si>
    <t xml:space="preserve"> 70.26 ± 31.47</t>
  </si>
  <si>
    <t>464.03 ± 202.86</t>
  </si>
  <si>
    <t>57.35 ± 30.03</t>
  </si>
  <si>
    <t xml:space="preserve"> 0.18 ± 0.18</t>
  </si>
  <si>
    <t>9.00 ± 7.77</t>
  </si>
  <si>
    <t>4.47 ± 2.89</t>
  </si>
  <si>
    <t>6.37 ± 3.68</t>
  </si>
  <si>
    <t>4.92 ± 3.45</t>
  </si>
  <si>
    <t xml:space="preserve"> 36.62 ± 26.99</t>
  </si>
  <si>
    <t>9.20 ± 5.44</t>
  </si>
  <si>
    <t xml:space="preserve"> 56.69 ± 38.34</t>
  </si>
  <si>
    <t>351.70 ± 207.42</t>
  </si>
  <si>
    <t>43.78 ± 27.12</t>
  </si>
  <si>
    <t xml:space="preserve"> 0.29 ± 0.36</t>
  </si>
  <si>
    <t>1.97 ± 1,157</t>
  </si>
  <si>
    <t xml:space="preserve"> 11.52 ± 11.15</t>
  </si>
  <si>
    <t>8.00 ± 7.60</t>
  </si>
  <si>
    <t>15.95 ± 15.43</t>
  </si>
  <si>
    <t xml:space="preserve"> 43.95 ± 47.74</t>
  </si>
  <si>
    <t>8.62 ± 9.32</t>
  </si>
  <si>
    <t>7.15 ± 7.49</t>
  </si>
  <si>
    <t xml:space="preserve"> 9.06 ± 9.05</t>
  </si>
  <si>
    <t>1.63 ± 2.32</t>
  </si>
  <si>
    <t>14.53 ± 18.93</t>
  </si>
  <si>
    <t>7.15 ± 8.28</t>
  </si>
  <si>
    <t xml:space="preserve"> 7.35 ± 5.46</t>
  </si>
  <si>
    <t>10.48 ± 7.51</t>
  </si>
  <si>
    <t>20.27 ± 17.20</t>
  </si>
  <si>
    <t>27.22 ± 31.55</t>
  </si>
  <si>
    <t>8.16 ± 9.16</t>
  </si>
  <si>
    <t xml:space="preserve"> 10.24 ± 8.90</t>
  </si>
  <si>
    <t xml:space="preserve"> 7.61 ± 8.63</t>
  </si>
  <si>
    <t>0.89 ± 0.79</t>
  </si>
  <si>
    <t xml:space="preserve"> 13.45 ± 13.77</t>
  </si>
  <si>
    <t xml:space="preserve"> 6.05 ± 4.36</t>
  </si>
  <si>
    <t xml:space="preserve">252.17 </t>
  </si>
  <si>
    <t>30.75</t>
  </si>
  <si>
    <t>IFN-α</t>
  </si>
  <si>
    <t>3.2</t>
  </si>
  <si>
    <t>2.1</t>
  </si>
  <si>
    <t>0.8</t>
  </si>
  <si>
    <t>1.9</t>
  </si>
  <si>
    <t>2.2</t>
  </si>
  <si>
    <t>2.3</t>
  </si>
  <si>
    <t xml:space="preserve"> 0.18</t>
  </si>
  <si>
    <t>0.18</t>
  </si>
  <si>
    <t xml:space="preserve"> 0.29</t>
  </si>
  <si>
    <t>0.36</t>
  </si>
  <si>
    <t>5.0</t>
  </si>
  <si>
    <t xml:space="preserve">4.4 </t>
  </si>
  <si>
    <t>0.57</t>
  </si>
  <si>
    <t xml:space="preserve">8.16 </t>
  </si>
  <si>
    <t>3.73</t>
  </si>
  <si>
    <t xml:space="preserve">37.44 </t>
  </si>
  <si>
    <t>110.74</t>
  </si>
  <si>
    <t>375.28</t>
  </si>
  <si>
    <t>100.57</t>
  </si>
  <si>
    <t>100.57 ± 100.57</t>
  </si>
  <si>
    <t>8.82</t>
  </si>
  <si>
    <t>5.01</t>
  </si>
  <si>
    <t xml:space="preserve"> 9.06</t>
  </si>
  <si>
    <t>16.50</t>
  </si>
  <si>
    <t xml:space="preserve">228.12 </t>
  </si>
  <si>
    <t>112.5</t>
  </si>
  <si>
    <t>75.94</t>
  </si>
  <si>
    <t>26.98</t>
  </si>
  <si>
    <t>86.02</t>
  </si>
  <si>
    <t>39.19</t>
  </si>
  <si>
    <t>115.10</t>
  </si>
  <si>
    <t xml:space="preserve"> 6.81</t>
  </si>
  <si>
    <t>127.24</t>
  </si>
  <si>
    <t>8.21</t>
  </si>
  <si>
    <t>70.26</t>
  </si>
  <si>
    <t>31.47</t>
  </si>
  <si>
    <t>56.69</t>
  </si>
  <si>
    <t>38.34</t>
  </si>
  <si>
    <t>95.07</t>
  </si>
  <si>
    <t>28.86</t>
  </si>
  <si>
    <t>93.83</t>
  </si>
  <si>
    <t>24.75</t>
  </si>
  <si>
    <t>65.82</t>
  </si>
  <si>
    <t>65.82 ± 65.82</t>
  </si>
  <si>
    <t>72.39</t>
  </si>
  <si>
    <t>52.02</t>
  </si>
  <si>
    <t xml:space="preserve">7.15 </t>
  </si>
  <si>
    <t>8.28</t>
  </si>
  <si>
    <t xml:space="preserve"> 6.05</t>
  </si>
  <si>
    <t>4.36</t>
  </si>
  <si>
    <t>84.54</t>
  </si>
  <si>
    <t>12.54</t>
  </si>
  <si>
    <t xml:space="preserve">54.79 </t>
  </si>
  <si>
    <t>10.33</t>
  </si>
  <si>
    <t>261.5</t>
  </si>
  <si>
    <t xml:space="preserve">9.37 </t>
  </si>
  <si>
    <t>5.66</t>
  </si>
  <si>
    <t>9.92</t>
  </si>
  <si>
    <t>6.53</t>
  </si>
  <si>
    <t>603.71</t>
  </si>
  <si>
    <t>77.07</t>
  </si>
  <si>
    <t>447.55</t>
  </si>
  <si>
    <t>11.37</t>
  </si>
  <si>
    <t>241.83</t>
  </si>
  <si>
    <t>255.59</t>
  </si>
  <si>
    <t>Mirtazapine (n =5)
SSRIs (n = 8)
Escitalopram (n= 5)
Venlafaxine (n = 7) 
Quetiapine (n = 8)</t>
  </si>
  <si>
    <t xml:space="preserve"> Clomipramine (n=8)
Paroxetine (n=4)
Mianserin (n=1)
Amitriptyline (n=1)</t>
  </si>
  <si>
    <t xml:space="preserve"> 23.9 ± 4.2</t>
  </si>
  <si>
    <t>13.0 ± 3.7</t>
  </si>
  <si>
    <t>199 ± 24</t>
  </si>
  <si>
    <t>2.1 ± 0.5</t>
  </si>
  <si>
    <t>31.6 ± 5.4</t>
  </si>
  <si>
    <t>11.9 ± 2.4</t>
  </si>
  <si>
    <t>205 ± 19</t>
  </si>
  <si>
    <t>3.2 ± 0.8</t>
  </si>
  <si>
    <t>135 ± 112.5</t>
  </si>
  <si>
    <t>11.3 ± 7.9</t>
  </si>
  <si>
    <t>368 ± 261.5</t>
  </si>
  <si>
    <t>5.33 ± 3.33</t>
  </si>
  <si>
    <t>147 ± 106</t>
  </si>
  <si>
    <t>11.15 ± 7.28</t>
  </si>
  <si>
    <t>375 ± 286</t>
  </si>
  <si>
    <t>5.09 ± 3.25</t>
  </si>
  <si>
    <t>down/up</t>
  </si>
  <si>
    <t>citocina</t>
  </si>
  <si>
    <t>classe</t>
  </si>
  <si>
    <t>TCA/SSRI/NaSSA</t>
  </si>
  <si>
    <t>SSRI / NDRI / Atypical antipsychotics / SNRIs</t>
  </si>
  <si>
    <t xml:space="preserve">SSRI / SNRIs </t>
  </si>
  <si>
    <t xml:space="preserve">SSRI / SNRIs / NDRI /  Atypical antipsychotics </t>
  </si>
  <si>
    <t>up</t>
  </si>
  <si>
    <t>down</t>
  </si>
  <si>
    <t>MISTO</t>
  </si>
  <si>
    <t>UP</t>
  </si>
  <si>
    <t>DOWN</t>
  </si>
  <si>
    <t>SSRI / NDRI / SNRI</t>
  </si>
  <si>
    <t xml:space="preserve">SSRI / SNRI / NDRI /  Atypical antipsychotics </t>
  </si>
  <si>
    <t>SSRI / SNRI / Mood stabilizers / Hypnotics / Anxiolytics / Antipsychotics / Others</t>
  </si>
  <si>
    <t>SNRI</t>
  </si>
  <si>
    <t>SSRI / SNRI</t>
  </si>
  <si>
    <t>MDD</t>
  </si>
  <si>
    <t>HC</t>
  </si>
  <si>
    <t xml:space="preserve">↓↑ </t>
  </si>
  <si>
    <t>60 ± 68</t>
  </si>
  <si>
    <t xml:space="preserve"> 9.6  ± 11.3</t>
  </si>
  <si>
    <t>TDM</t>
  </si>
  <si>
    <t>14.7 ± 8.0</t>
  </si>
  <si>
    <t>110 ± 147</t>
  </si>
  <si>
    <t xml:space="preserve"> 15.6 ± 28.4</t>
  </si>
  <si>
    <t xml:space="preserve"> 33.4 ± 27.4</t>
  </si>
  <si>
    <t>↑</t>
  </si>
  <si>
    <t>373.90 ± 292.72</t>
  </si>
  <si>
    <t xml:space="preserve"> 467.76 ± 262.79</t>
  </si>
  <si>
    <t>207.72 ± 180.17</t>
  </si>
  <si>
    <t>97.29 ± 142.91</t>
  </si>
  <si>
    <t xml:space="preserve"> 267.72 ± 113.52</t>
  </si>
  <si>
    <t xml:space="preserve"> 94.14 ± 56.45</t>
  </si>
  <si>
    <t>226.83 ± 45.06</t>
  </si>
  <si>
    <t xml:space="preserve"> 378.52 ± 140.43</t>
  </si>
  <si>
    <t>556.90 ± 178.51</t>
  </si>
  <si>
    <t>689.86 ± 292.60</t>
  </si>
  <si>
    <t>↓</t>
  </si>
  <si>
    <t>14.65 ± 2.79</t>
  </si>
  <si>
    <t xml:space="preserve"> 7.80 ± 1.75</t>
  </si>
  <si>
    <t>6.17 ± 1.86</t>
  </si>
  <si>
    <t xml:space="preserve"> 36.04 ± 12.63</t>
  </si>
  <si>
    <t xml:space="preserve"> 48.09 ± 8.19</t>
  </si>
  <si>
    <t>17.3 ± 1.2</t>
  </si>
  <si>
    <t>5.4 ± 0.8</t>
  </si>
  <si>
    <t>132 ± 23</t>
  </si>
  <si>
    <t xml:space="preserve"> 2.1 ± 0.2</t>
  </si>
  <si>
    <t>18.834 ± 3.544</t>
  </si>
  <si>
    <t xml:space="preserve"> 5.953 ± 2.835</t>
  </si>
  <si>
    <t xml:space="preserve"> 19.829 ± 10.303</t>
  </si>
  <si>
    <t xml:space="preserve"> 9.579 ± 5.222</t>
  </si>
  <si>
    <t>4.237 ± 1.248</t>
  </si>
  <si>
    <t>4.868 ± 2.505</t>
  </si>
  <si>
    <t>267.379 ± 158.442</t>
  </si>
  <si>
    <t>462.5 ± 373, 584</t>
  </si>
  <si>
    <t>15.65 ± 10.7</t>
  </si>
  <si>
    <t>5.46 ± 3.7</t>
  </si>
  <si>
    <t>135 ± 104, 190</t>
  </si>
  <si>
    <t xml:space="preserve">10.01 ± 7.2 </t>
  </si>
  <si>
    <t>342 ± 235, 407</t>
  </si>
  <si>
    <t xml:space="preserve">5.02 ± 2.9 </t>
  </si>
  <si>
    <t>135  ± 113, 172</t>
  </si>
  <si>
    <t>6.26 ± 0.17</t>
  </si>
  <si>
    <t xml:space="preserve">9.48 ± 1.07 </t>
  </si>
  <si>
    <t>9.69 ± 0.17</t>
  </si>
  <si>
    <t xml:space="preserve">33.83 ± 4.11 </t>
  </si>
  <si>
    <t>16.47 ± 1.84</t>
  </si>
  <si>
    <t xml:space="preserve">3.18 ± 0.11 </t>
  </si>
  <si>
    <t xml:space="preserve">2.00 ± 0.10 </t>
  </si>
  <si>
    <t xml:space="preserve">1.60 ± 0.20 </t>
  </si>
  <si>
    <t>24.16 ± 2.71</t>
  </si>
  <si>
    <t xml:space="preserve">569.48 ± 91.57 </t>
  </si>
  <si>
    <t xml:space="preserve">1.94 ± 0.21 </t>
  </si>
  <si>
    <t>118.88 ± 7.21</t>
  </si>
  <si>
    <t>216.87 ± 4.04</t>
  </si>
  <si>
    <t xml:space="preserve">142.08 ± 11.86 </t>
  </si>
  <si>
    <t xml:space="preserve">89.34 ± 5.00 </t>
  </si>
  <si>
    <t>2.67 ± 0.11</t>
  </si>
  <si>
    <t xml:space="preserve">115.10 ± 6.81 </t>
  </si>
  <si>
    <t>SSRI / NDRI / Atypical antipsychotics / SNRI</t>
  </si>
  <si>
    <t>TCA/SSRI/NASSA</t>
  </si>
  <si>
    <t>BEFORE/AFTER</t>
  </si>
  <si>
    <t>STUDY</t>
  </si>
  <si>
    <t xml:space="preserve"> 9.6</t>
  </si>
  <si>
    <t>14.7</t>
  </si>
  <si>
    <t xml:space="preserve"> 467.76</t>
  </si>
  <si>
    <t>207.72</t>
  </si>
  <si>
    <t xml:space="preserve"> 267.72</t>
  </si>
  <si>
    <t>226.83</t>
  </si>
  <si>
    <t>556.90</t>
  </si>
  <si>
    <t>14.65</t>
  </si>
  <si>
    <t xml:space="preserve"> 7.80</t>
  </si>
  <si>
    <t>6.17</t>
  </si>
  <si>
    <t xml:space="preserve"> 36.04 </t>
  </si>
  <si>
    <t xml:space="preserve"> 48.09</t>
  </si>
  <si>
    <t xml:space="preserve"> 15.6</t>
  </si>
  <si>
    <t xml:space="preserve"> 33.4 </t>
  </si>
  <si>
    <t>373.90</t>
  </si>
  <si>
    <t>97.29</t>
  </si>
  <si>
    <t xml:space="preserve"> 94.14</t>
  </si>
  <si>
    <t xml:space="preserve"> 378.52</t>
  </si>
  <si>
    <t>689.86</t>
  </si>
  <si>
    <t xml:space="preserve"> 23.9</t>
  </si>
  <si>
    <t>17.3</t>
  </si>
  <si>
    <t xml:space="preserve"> 2.1</t>
  </si>
  <si>
    <t>10.01</t>
  </si>
  <si>
    <t>5.02</t>
  </si>
  <si>
    <t>462.5</t>
  </si>
  <si>
    <t>15.65</t>
  </si>
  <si>
    <t>6.26</t>
  </si>
  <si>
    <t>9.69</t>
  </si>
  <si>
    <t>16.47</t>
  </si>
  <si>
    <t>3.18</t>
  </si>
  <si>
    <t>1.60</t>
  </si>
  <si>
    <t>24.16</t>
  </si>
  <si>
    <t>1.94</t>
  </si>
  <si>
    <t>118.88</t>
  </si>
  <si>
    <t>216.87</t>
  </si>
  <si>
    <t xml:space="preserve">142.08 </t>
  </si>
  <si>
    <t>89.34</t>
  </si>
  <si>
    <t>2.67</t>
  </si>
  <si>
    <t xml:space="preserve">9.48 </t>
  </si>
  <si>
    <t xml:space="preserve">32.89 </t>
  </si>
  <si>
    <t>2.00</t>
  </si>
  <si>
    <t>569.48</t>
  </si>
  <si>
    <t>3.16</t>
  </si>
  <si>
    <t xml:space="preserve">115.10 </t>
  </si>
  <si>
    <t>603.7</t>
  </si>
  <si>
    <t>228.12</t>
  </si>
  <si>
    <t>184.63</t>
  </si>
  <si>
    <t>3.75</t>
  </si>
  <si>
    <t>33.83</t>
  </si>
  <si>
    <t xml:space="preserve">14.53 </t>
  </si>
  <si>
    <t xml:space="preserve"> 13.45</t>
  </si>
  <si>
    <t xml:space="preserve">1.63 </t>
  </si>
  <si>
    <t xml:space="preserve">0.89 </t>
  </si>
  <si>
    <t xml:space="preserve"> 7.61 </t>
  </si>
  <si>
    <t xml:space="preserve"> 10.24</t>
  </si>
  <si>
    <t xml:space="preserve">8.62 </t>
  </si>
  <si>
    <t xml:space="preserve"> 43.95</t>
  </si>
  <si>
    <t xml:space="preserve">8.00 </t>
  </si>
  <si>
    <t xml:space="preserve">10.48 </t>
  </si>
  <si>
    <t xml:space="preserve"> 11.52 </t>
  </si>
  <si>
    <t>16.23</t>
  </si>
  <si>
    <t>13.22</t>
  </si>
  <si>
    <t>6.61</t>
  </si>
  <si>
    <t>8.11</t>
  </si>
  <si>
    <t>65.82 2</t>
  </si>
  <si>
    <t xml:space="preserve">29.17 </t>
  </si>
  <si>
    <t xml:space="preserve">28.56 </t>
  </si>
  <si>
    <t xml:space="preserve">29.88 </t>
  </si>
  <si>
    <t xml:space="preserve">113.39 </t>
  </si>
  <si>
    <t>79.62</t>
  </si>
  <si>
    <t xml:space="preserve">62.92 </t>
  </si>
  <si>
    <t xml:space="preserve">25.77 </t>
  </si>
  <si>
    <t xml:space="preserve">24.05 </t>
  </si>
  <si>
    <t xml:space="preserve">1.97 </t>
  </si>
  <si>
    <t xml:space="preserve">3.36 </t>
  </si>
  <si>
    <t xml:space="preserve">5.0 </t>
  </si>
  <si>
    <t>4.4</t>
  </si>
  <si>
    <t xml:space="preserve">86.02 </t>
  </si>
  <si>
    <t xml:space="preserve">9.92 </t>
  </si>
  <si>
    <t xml:space="preserve">486.53 </t>
  </si>
  <si>
    <t xml:space="preserve">580.62 </t>
  </si>
  <si>
    <t xml:space="preserve">47.08 </t>
  </si>
  <si>
    <t xml:space="preserve">16.4 </t>
  </si>
  <si>
    <t xml:space="preserve">63.57 </t>
  </si>
  <si>
    <t xml:space="preserve">55.05 </t>
  </si>
  <si>
    <t xml:space="preserve">8.9 </t>
  </si>
  <si>
    <t xml:space="preserve">8.39 </t>
  </si>
  <si>
    <t xml:space="preserve">11.33 </t>
  </si>
  <si>
    <t xml:space="preserve">11.09 </t>
  </si>
  <si>
    <t xml:space="preserve">25.57 </t>
  </si>
  <si>
    <t xml:space="preserve">15.89 </t>
  </si>
  <si>
    <t xml:space="preserve">19.95 </t>
  </si>
  <si>
    <t xml:space="preserve">221.99 </t>
  </si>
  <si>
    <t xml:space="preserve">93.83 </t>
  </si>
  <si>
    <t xml:space="preserve"> 0.18 </t>
  </si>
  <si>
    <t xml:space="preserve"> 0.29 </t>
  </si>
  <si>
    <t xml:space="preserve">43.78 </t>
  </si>
  <si>
    <t xml:space="preserve">57.35 </t>
  </si>
  <si>
    <t xml:space="preserve">464.03 </t>
  </si>
  <si>
    <t>351.70</t>
  </si>
  <si>
    <t xml:space="preserve"> 56.69 </t>
  </si>
  <si>
    <t xml:space="preserve"> 70.26 </t>
  </si>
  <si>
    <t xml:space="preserve">9.20 </t>
  </si>
  <si>
    <t xml:space="preserve">43.46 </t>
  </si>
  <si>
    <t xml:space="preserve"> 36.62 </t>
  </si>
  <si>
    <t xml:space="preserve">4.92 </t>
  </si>
  <si>
    <t xml:space="preserve"> 6.82 </t>
  </si>
  <si>
    <t xml:space="preserve">8.40 </t>
  </si>
  <si>
    <t xml:space="preserve">6.37 </t>
  </si>
  <si>
    <t xml:space="preserve">4.47 </t>
  </si>
  <si>
    <t xml:space="preserve"> 6.08 </t>
  </si>
  <si>
    <t xml:space="preserve">9.00 </t>
  </si>
  <si>
    <t xml:space="preserve">5.33 </t>
  </si>
  <si>
    <t xml:space="preserve">11.3 </t>
  </si>
  <si>
    <t xml:space="preserve">11.15 </t>
  </si>
  <si>
    <t xml:space="preserve">5.09 </t>
  </si>
  <si>
    <t xml:space="preserve"> 1.9</t>
  </si>
  <si>
    <t xml:space="preserve"> 2.2</t>
  </si>
  <si>
    <t>1141.62</t>
  </si>
  <si>
    <t xml:space="preserve">947.94 </t>
  </si>
  <si>
    <t xml:space="preserve">2.1 </t>
  </si>
  <si>
    <t xml:space="preserve">13.0 </t>
  </si>
  <si>
    <t xml:space="preserve"> 23.9 </t>
  </si>
  <si>
    <t xml:space="preserve">31.6 </t>
  </si>
  <si>
    <t xml:space="preserve">11.9 </t>
  </si>
  <si>
    <t xml:space="preserve">3.2 </t>
  </si>
  <si>
    <t xml:space="preserve"> 54.79 </t>
  </si>
  <si>
    <t xml:space="preserve">77.68 </t>
  </si>
  <si>
    <t xml:space="preserve"> 53.85 </t>
  </si>
  <si>
    <t xml:space="preserve">10.45 </t>
  </si>
  <si>
    <t xml:space="preserve"> 19.29 </t>
  </si>
  <si>
    <t xml:space="preserve">33.45 </t>
  </si>
  <si>
    <t xml:space="preserve">16.50 </t>
  </si>
  <si>
    <t xml:space="preserve">751.66 </t>
  </si>
  <si>
    <t xml:space="preserve">731.31 </t>
  </si>
  <si>
    <t xml:space="preserve">442.90 </t>
  </si>
  <si>
    <t xml:space="preserve">408.31 </t>
  </si>
  <si>
    <t xml:space="preserve">76.96 </t>
  </si>
  <si>
    <t xml:space="preserve">118.04 </t>
  </si>
  <si>
    <t xml:space="preserve">102.93 </t>
  </si>
  <si>
    <t xml:space="preserve">352.51 </t>
  </si>
  <si>
    <t xml:space="preserve">444.13 </t>
  </si>
  <si>
    <t xml:space="preserve"> 27.0 </t>
  </si>
  <si>
    <t xml:space="preserve">25.6 </t>
  </si>
  <si>
    <t xml:space="preserve"> 6.1 </t>
  </si>
  <si>
    <t xml:space="preserve"> 16.8 </t>
  </si>
  <si>
    <t>Control</t>
  </si>
  <si>
    <t>CONTROL/MDD</t>
  </si>
  <si>
    <t>MIP-1α</t>
  </si>
  <si>
    <t>EOTAXIN-1</t>
  </si>
  <si>
    <t>p-value</t>
  </si>
  <si>
    <t xml:space="preserve"> Dosage</t>
  </si>
  <si>
    <t>Drug (n)</t>
  </si>
  <si>
    <t xml:space="preserve"> Bupropion (300 mg)
Citalopram (mean, 36.67 mg; range, 20–60 mg)
Mirtazapine (mean, 30 mg; range, 15–45 mg)
Paroxetine (mean, 35 mg; range, 25–40 mg)
Venlafaxine (mean, 160.71 mg; range, 75–225 mg)
Olanzapine (15 mg)
Risperidone (4 mg)
Amisulpride (mean, 333.33 mg; range, 200–400 mg)
Quetiapine (200 mg)</t>
  </si>
  <si>
    <t>NDRI / SSRI / SNRI / Antipsychotics</t>
  </si>
  <si>
    <t>SSRI / NDRI / SNRI / ANTIPSYCHOTIC</t>
  </si>
  <si>
    <t>Cytokine imbalance in the pathophysiology of major depressive disorder</t>
  </si>
  <si>
    <t>Article</t>
  </si>
  <si>
    <t>Bupropion (n= 2)
Citalopram (n=12)
Mirtazapine (n =3)
Paroxetine (n=8)
Olanzapine (n=1)
Risperidone (n=1)
Amisulpride (n=3)
Quetiapine (n=1)</t>
  </si>
  <si>
    <t>https://www.sciencedirect.com/science/article/pii/S0022395616308329?ref=pdf_download&amp;fr=RR-2&amp;rr=979ed720ce2b01d5</t>
  </si>
  <si>
    <t>Proteomics profiling reveals inflammatory biomarkers of antidepressant treatment response: Findings from the CO-MED trial</t>
  </si>
  <si>
    <t>Participants in the SSRI monotherapy treatment group were
started on 10 mg/day dose of escitalopram with the option to increase the dose to 20 mg/day at week 4 visit or later if QIDS-C score
was greater than 5. Pill placebo was added at week 2 in single-blind
fashion with the option to increase the dose at week 4 visit or later
if QIDS-C score was greater than 5. At the end of 12 weeks, mean
escitalopram dose was 17.6 mg/day and mean placebo dose was 1.4
pills/day. Participants in the Bupropion-SSRI treatment group were
started on sustained release (SR) bupropion 150 mg/day and the
dose was increased to 300 mg/day at week 1 visit. At week 2,
escitalopram 10 mg/day was started in single-blind fashion. At
week 4 visit, bupropion SR was increased to 400 mg/day and/or
escitalopram was increased to 20 mg/day if QIDS-C score was
greater than 5. For visits at week 6 and later, doses could be
increased to 400 mg/day of bupropion SR and 20 mg/day of escitalopram if QIDS-C score was greater than 5. At the end of 12 weeks,
mean bupropion SR dose was 324.0 mg/day and mean escitalopram
dose was 14.0 mg/day. Participants in venlafaxine-mirtazapine
combination treatment group were started on extended release
(XR) venlafaxine 37.5 mg/day for 3 days and then increased to
75 mg/day. At week 1 visit, venlafaxine XR was increased to
150 mg/day. At week 2 visit, if the score on QIDS-C was greater than
5 then mirtazapine 15 mg/day was added in single-blind fashion. At
week 4 visit, if QIDS-C was greater than 5 then venlafaxine XR dose
was increased to 225 mg/day and/or mirtazapine was increased to
30 mg/day. At week 6, if QIDS-C was greater than 5 then mirtazapine could be raised to 45 mg/day. At week 8, if QIDS was greater than 5 then venlafaxine XR could be raised to 300 mg/day. At the
end of 12 weeks, mean venlafaxine XR dose was 207.6 mg/day and
mean mirtazapine dose was 25.3 mg/day.</t>
  </si>
  <si>
    <t>MDD (n = 102)</t>
  </si>
  <si>
    <t>Cytokine serum levels remain unchanged during lithium augmentation of
antidepressants in major depression</t>
  </si>
  <si>
    <t>≥12 after pre-treatment with an antidepressant with a minimum duration of four weeks
and an adequate dose (minimum of 150 mg imipramine equivalent)</t>
  </si>
  <si>
    <t>12 week</t>
  </si>
  <si>
    <t>MDD (n=95)</t>
  </si>
  <si>
    <t>Serum cytokines-based biomarkers in the diagnosis and monitoring of therapeutic response in patients with major depressive disorder</t>
  </si>
  <si>
    <t>SNRI / SSRI</t>
  </si>
  <si>
    <t>Duloxetine (50.91mg ± 2.17)
Escitalopram (10.71mg ± 0.89)
Sertraline (50.91mg ± 2.17)
Paroxetine (27.14mg ± 3.60)
Fluoxetine (40.00mg ± 0.00) 
Venlafaxine (93.75mg ± 18.75)</t>
  </si>
  <si>
    <t>Duloxetine (n = 22)         
Escitalopram (n = 14)         
Sertraline (n = 10)             
Paroxetine (n = 7)          
Fluoxetine (n =2)            
Venlafaxine (n = 4)</t>
  </si>
  <si>
    <t>https://www.sciencedirect.com/science/article/pii/S0306453017304705?ref=pdf_download&amp;fr=RR-2&amp;rr=979f0fdde8408e5a</t>
  </si>
  <si>
    <t>8-week</t>
  </si>
  <si>
    <t xml:space="preserve"> Paroxetine 10–40 mg</t>
  </si>
  <si>
    <t xml:space="preserve"> Venlafaxine 75–300 mg</t>
  </si>
  <si>
    <t>Paroxetine (n = 50)  
Venlafaxine (n = 41)</t>
  </si>
  <si>
    <t>2.89 ± 3.04</t>
  </si>
  <si>
    <t>2.82 ± 2.65</t>
  </si>
  <si>
    <t>4.82 ± 4.05</t>
  </si>
  <si>
    <t xml:space="preserve"> 11.65 ± 9.56</t>
  </si>
  <si>
    <t xml:space="preserve"> 2.89 ± 4.03</t>
  </si>
  <si>
    <t>2.27 ± 2.58</t>
  </si>
  <si>
    <t xml:space="preserve"> 2.90 ± 3.19</t>
  </si>
  <si>
    <t xml:space="preserve"> 0.35 ± 0.31</t>
  </si>
  <si>
    <t>4.53 ± 4.38</t>
  </si>
  <si>
    <t>Differences in immunomodulatory properties between venlafaxine and
paroxetine in patients with major depressive disorder</t>
  </si>
  <si>
    <t>Increased serum tumor necrosis factor alpha concentrations in major depression and multiple sclerosis</t>
  </si>
  <si>
    <t>8-weeks</t>
  </si>
  <si>
    <t xml:space="preserve"> 6-weeks</t>
  </si>
  <si>
    <t>TCA / SSRI / NASSA</t>
  </si>
  <si>
    <t xml:space="preserve">Escitalopram (n=31)
Sertraline (n=2)
Paroxetine (n=11)
Fluoxetine (n=1)
Mirtazapine (n=21) </t>
  </si>
  <si>
    <t>Serum Cytokine Levels in Major Depressive Disorder and
Its Role in Antidepressant Response</t>
  </si>
  <si>
    <t>6-week</t>
  </si>
  <si>
    <t>Pro-inflammatory biomakers in depression: Treatment
with venlafaxine</t>
  </si>
  <si>
    <t>USA</t>
  </si>
  <si>
    <t xml:space="preserve">Healthy Controls (n=15)
MDD (n=28) </t>
  </si>
  <si>
    <t>Healthy Controls (n=22)
MDD (n=66)</t>
  </si>
  <si>
    <t xml:space="preserve">Healthy Controls (n=61)
MDD (n=59)
</t>
  </si>
  <si>
    <t>28.2 ± 5.0</t>
  </si>
  <si>
    <t>8.9 ± 2.0</t>
  </si>
  <si>
    <t>Venlafaxine (n=14)</t>
  </si>
  <si>
    <t>https://pubmed.ncbi.nlm.nih.gov/27137966/</t>
  </si>
  <si>
    <t>Pro- and anti-inflammatory cytokines, but not CRP, are inversely correlated with severity and symptoms of major depression</t>
  </si>
  <si>
    <t>Might different cytokine trends in depressed patients receiving duloxetine indicate differential biological backgrounds</t>
  </si>
  <si>
    <t>Healthy Controls (n=32)
MDD (n=30)</t>
  </si>
  <si>
    <t>Italy</t>
  </si>
  <si>
    <t xml:space="preserve"> Duloxetine (n=30)</t>
  </si>
  <si>
    <t>4-week</t>
  </si>
  <si>
    <t>Gao et al., 2024</t>
  </si>
  <si>
    <t>Duloxetine (n=23)</t>
  </si>
  <si>
    <t>6.39 ± 0.94</t>
  </si>
  <si>
    <t>2.88 ± 0.87</t>
  </si>
  <si>
    <t>10.36 ± 2.39</t>
  </si>
  <si>
    <t>7.55 ± 2.49</t>
  </si>
  <si>
    <t>4.50 ± 2.43</t>
  </si>
  <si>
    <t>15.86 ± 4.08</t>
  </si>
  <si>
    <t>8.36 ± 3.93</t>
  </si>
  <si>
    <t>5.33 ± 3.67</t>
  </si>
  <si>
    <t>16.56 ± 4.95</t>
  </si>
  <si>
    <t>6.96 ± 3.00</t>
  </si>
  <si>
    <t>5.93 ± 3.58</t>
  </si>
  <si>
    <t>13.26 ± 4.22</t>
  </si>
  <si>
    <t>Effect of duloxetine on changes in serum
proinflammatory cytokine levels in patients
with major depressive disorder</t>
  </si>
  <si>
    <t>https://doi.org/10.1186/s12888-024-05910-0</t>
  </si>
  <si>
    <t xml:space="preserve">The relationship between plasma cytokine levels and antidepressant
response in patients with first-episode major depressive disorder </t>
  </si>
  <si>
    <t>Lan et al., 2021</t>
  </si>
  <si>
    <t xml:space="preserve">Healthy Controls (n=60)
MDD (n=54)
</t>
  </si>
  <si>
    <t>Escitalopram (n= 34)
Venlafaxine (n= 20)</t>
  </si>
  <si>
    <t xml:space="preserve">1 ± 0.28 </t>
  </si>
  <si>
    <t>1.09 ± 0.44</t>
  </si>
  <si>
    <t>0.4 ± 0.45</t>
  </si>
  <si>
    <t>0.12 ± 0.43</t>
  </si>
  <si>
    <t>0.06 ± 0.44</t>
  </si>
  <si>
    <t>1.88 ± 0.34</t>
  </si>
  <si>
    <t>0.66 ± 0.40</t>
  </si>
  <si>
    <t>0.51 ± 0.39</t>
  </si>
  <si>
    <t xml:space="preserve">0.73 ± 0.22 </t>
  </si>
  <si>
    <t xml:space="preserve">1.23 ± 0.30 </t>
  </si>
  <si>
    <t>1.46 ± 0.46</t>
  </si>
  <si>
    <t>0.6 ± 0.56</t>
  </si>
  <si>
    <t>0.31 ± 0.42</t>
  </si>
  <si>
    <t>0.56 ± 0.62</t>
  </si>
  <si>
    <t>1.82 ± 0.29</t>
  </si>
  <si>
    <t>0.99 ± 0.41</t>
  </si>
  <si>
    <t>0.61 ± 0.29</t>
  </si>
  <si>
    <t>0.81 ± 0.24</t>
  </si>
  <si>
    <t>1.16 ± 0.33</t>
  </si>
  <si>
    <t>1.14 ± 0.40</t>
  </si>
  <si>
    <t>0.47 ± 0.51</t>
  </si>
  <si>
    <t>0.06 ± 0.39</t>
  </si>
  <si>
    <t>0.08 ± 0.37</t>
  </si>
  <si>
    <t>1.86 ± 0.38</t>
  </si>
  <si>
    <t>0.67 ± 0.41</t>
  </si>
  <si>
    <t>0.39 ± 0.40</t>
  </si>
  <si>
    <t>0.66 ± 0.25</t>
  </si>
  <si>
    <t>Rawdin et al., 2013</t>
  </si>
  <si>
    <t>Sertraline (n= 17)</t>
  </si>
  <si>
    <t>0.73 ± 0.37</t>
  </si>
  <si>
    <t>0.55 ± 0.61</t>
  </si>
  <si>
    <t>0.84 ± 0.823</t>
  </si>
  <si>
    <t>0.40 ± 0.66</t>
  </si>
  <si>
    <t>Dysregulated relationship of inflammation and oxidative stress
in major depression</t>
  </si>
  <si>
    <t>10.1016/j.bbi.2012.11.011.</t>
  </si>
  <si>
    <t>Yin et al., 2025</t>
  </si>
  <si>
    <t>Healthy Controls (n=50)
MDD (n=50)</t>
  </si>
  <si>
    <t xml:space="preserve"> Escitalopram (n= 10)
Fluoxetine (n= 8)
Sertraline (n= 11)
Fluvoxamine (n= 9)
Paroxetine n= 12)</t>
  </si>
  <si>
    <t>The change of inflammatory cytokines after antidepressant treatment and
correlation with depressive symptoms</t>
  </si>
  <si>
    <t xml:space="preserve">53.69 ± 13.87 </t>
  </si>
  <si>
    <t>24.26 ± 5.36</t>
  </si>
  <si>
    <t xml:space="preserve">325.13 ± 99.19 </t>
  </si>
  <si>
    <t>40.07 ± 10.44</t>
  </si>
  <si>
    <t>77.2 ± 20.59</t>
  </si>
  <si>
    <t xml:space="preserve">35.13 ± 8.52 </t>
  </si>
  <si>
    <t xml:space="preserve">468.37 ± 104.42 </t>
  </si>
  <si>
    <t>51.42 ± 12.96</t>
  </si>
  <si>
    <t xml:space="preserve">77.2 ± 20.59 </t>
  </si>
  <si>
    <t>35.13 ± 8.52</t>
  </si>
  <si>
    <t xml:space="preserve">71.44 ± 19.76 </t>
  </si>
  <si>
    <t>31.24 ± 8.00</t>
  </si>
  <si>
    <t>405.34 ± 100.66</t>
  </si>
  <si>
    <t>45.56 ± 12.15</t>
  </si>
  <si>
    <t>Piletz et al., 2009</t>
  </si>
  <si>
    <t>DOI</t>
  </si>
  <si>
    <t>10.1016/s0924-977x(01)00081-5</t>
  </si>
  <si>
    <t>10.1016/j.pnpbp.2007.03.004</t>
  </si>
  <si>
    <t>10.3109/15622970802573246</t>
  </si>
  <si>
    <t>10.1016/j.jad.2012.08.007</t>
  </si>
  <si>
    <t>10.1016/j.jpsychires.2025.02.062</t>
  </si>
  <si>
    <t>10.4306/pi.2016.13.6.644</t>
  </si>
  <si>
    <t>10.1016/j.jad.2021.03.036</t>
  </si>
  <si>
    <t>https://doi.org/10.1016/j.jad.2021.03.036</t>
  </si>
  <si>
    <t>Country</t>
  </si>
  <si>
    <t>China</t>
  </si>
  <si>
    <t xml:space="preserve">China </t>
  </si>
  <si>
    <t>ELISA</t>
  </si>
  <si>
    <t xml:space="preserve">TCA / SSRI / NaSSA
</t>
  </si>
  <si>
    <t>South Korea</t>
  </si>
  <si>
    <t>232</t>
  </si>
  <si>
    <t>Any Field: Major Depressive Disorder AND Any Field: antidepressant AND Any Field: cytokines OR Any Field: interleukin OR Any Field: Immune response OR Any Field: neuroimmune AND APA Full-Text Only</t>
  </si>
  <si>
    <t>PsycInfo</t>
  </si>
  <si>
    <t>609</t>
  </si>
  <si>
    <t>(major AND depressive AND disorder)AND(antidepressants)AND(cytokine)AND(interleukin)OR(immune AND response)OR(neuroimmune)OR(biomarkers)OR(serum)</t>
  </si>
  <si>
    <t>Scopus</t>
  </si>
  <si>
    <t>(((Major Depressive Disorder*[Title/Abstract]) OR (major depressive disorder[Title/Abstract])) OR (antidepressant[Title/Abstract])) AND (((((Cytokines*[Title/Abstract]) OR (interleukin*[Title/Abstract])) OR (Immune response[Title/Abstract])) OR (neuroimmune[Title/Abstract]))) AND ((((Biomarkers*[Title/Abstract]) OR (blood levels[Title/Abstract])) OR (serum levels[Title/Abstract])) OR (concentration*[Title/Abstract]))</t>
  </si>
  <si>
    <t>Pubmed</t>
  </si>
  <si>
    <t>Date of selection</t>
  </si>
  <si>
    <t>No. of articles</t>
  </si>
  <si>
    <t>Search strategy</t>
  </si>
  <si>
    <t>Database</t>
  </si>
  <si>
    <t>Supplementary Table S1. Search strategy used in the PubMed, Scopus, and PsycInfo databases</t>
  </si>
  <si>
    <t>Clinical studies, reporting paired pre/post cytokine measures.</t>
  </si>
  <si>
    <t>S (study type):</t>
  </si>
  <si>
    <t>Circulating serum cytokines (IL-1β, IL-2, IL-4, IL-5, IL-6, IL-8, IL-10, IL-13, TNF-α, IFN-γ),</t>
  </si>
  <si>
    <t>O (other outcomes):</t>
  </si>
  <si>
    <t>(1) Between-group: MDD baseline vs healthy controls (HC), (2) Within-subject: pre- vs post-treatment in MDD,</t>
  </si>
  <si>
    <t>C (control):</t>
  </si>
  <si>
    <t xml:space="preserve">Antidepressant treatment,			</t>
  </si>
  <si>
    <t>I (intervention)</t>
  </si>
  <si>
    <t xml:space="preserve"> Major Depressive Disorder (MDD) diagnosed by DSM/ICD,</t>
  </si>
  <si>
    <t>P (patient or pathology):</t>
  </si>
  <si>
    <t>PICOS</t>
  </si>
  <si>
    <t>Studies that do not address interventions or are not relevant to the review question</t>
  </si>
  <si>
    <t>Antidepressant medications of any class (e.g., SSRIs, SNRIs, TCAs) duration (&lt;8 weeks vs ≥8 weeks) administered to MDD patients</t>
  </si>
  <si>
    <t>Interventions/Exposure</t>
  </si>
  <si>
    <t>Studies evaluating serum cytokine concentrations before and after antidepressant treatment in patients with major depressive disorder</t>
  </si>
  <si>
    <t>Comparison between cytokine levels measured before and after antidepressant treatment within the same patient group.</t>
  </si>
  <si>
    <t>Outcomes analyzed</t>
  </si>
  <si>
    <t>Abstract only available or restricted access with no possibility of retrieval</t>
  </si>
  <si>
    <t>Complete texts</t>
  </si>
  <si>
    <t>Availability</t>
  </si>
  <si>
    <t>Old studies that do not reflect the current state of science</t>
  </si>
  <si>
    <t xml:space="preserve">Databases will be searched for articles published from:
20 may 2000 - 20 may 2025 </t>
  </si>
  <si>
    <t>Year of publication</t>
  </si>
  <si>
    <t>Narrative reviews, single case studies, editorials, letters, and abstracts</t>
  </si>
  <si>
    <t>Randomized controlled trials (RCTs)
Non-randomized clinical trials
Observational studies with pre/post design (cohort, case-control)</t>
  </si>
  <si>
    <t>Study type</t>
  </si>
  <si>
    <t>Other language</t>
  </si>
  <si>
    <t>Only studies published in English will be included</t>
  </si>
  <si>
    <t>Language</t>
  </si>
  <si>
    <t>Estudos com animais ou modelos in vitro / Exclude studies using placebo or non-antidepressant interventions and those without relevant pre/post cytokine data.</t>
  </si>
  <si>
    <t>Adults (18 years and older) diagnosed with Major Depressive Disorder (MDD) according to recognized diagnostic criteria (e.g., DSM-5 or ICD-10). Both sexes included. Include studies reporting cytokine levels in MDD patients pre- and post-antidepressant therapy.</t>
  </si>
  <si>
    <t>Population</t>
  </si>
  <si>
    <t>Exclusion Criteria</t>
  </si>
  <si>
    <t>Inclusion Criteria</t>
  </si>
  <si>
    <t>Aspect</t>
  </si>
  <si>
    <t>exclude</t>
  </si>
  <si>
    <t>include</t>
  </si>
  <si>
    <t>10.1016/j.psyneuen.2017.10.009</t>
  </si>
  <si>
    <t>Wei et al., 2018</t>
  </si>
  <si>
    <t>10.2147/NDT.S151238</t>
  </si>
  <si>
    <t>Jazayeri et al., 2010</t>
  </si>
  <si>
    <t>10.1016/j.psychres.2009.04.013</t>
  </si>
  <si>
    <t>10.1159/000492619</t>
  </si>
  <si>
    <t>10.1155/2007/76396</t>
  </si>
  <si>
    <t>10.1016/j.jad.2011.09.027</t>
  </si>
  <si>
    <t>10.1016/j.psychres.2016.02.052</t>
  </si>
  <si>
    <t>10.1016/j.jpsychires.2017.10.002</t>
  </si>
  <si>
    <t>10.1016/j.bbi.2017.07.005</t>
  </si>
  <si>
    <t>https://doi.org/10.1016/j.jpsychires.2017.05.012</t>
  </si>
  <si>
    <t>10.1016/j.jpsychires.2010.03.005</t>
  </si>
  <si>
    <t>YLGC</t>
  </si>
  <si>
    <t>Reviewer2</t>
  </si>
  <si>
    <t>RGN</t>
  </si>
  <si>
    <t>Reviewer1</t>
  </si>
  <si>
    <t xml:space="preserve"> USA </t>
  </si>
  <si>
    <t>MDD (n = 30)</t>
  </si>
  <si>
    <t>Germany</t>
  </si>
  <si>
    <t xml:space="preserve">Sample size (n) </t>
  </si>
  <si>
    <t>Treatment length (week)</t>
  </si>
  <si>
    <t xml:space="preserve">Cytokine(s) measured </t>
  </si>
  <si>
    <t xml:space="preserve"> Detection method </t>
  </si>
  <si>
    <t xml:space="preserve">Sample source </t>
  </si>
  <si>
    <t xml:space="preserve">MDD (n= 32) </t>
  </si>
  <si>
    <t>MDD (n=14)</t>
  </si>
  <si>
    <t>MDD (n=30)</t>
  </si>
  <si>
    <t>MDD (n=20)</t>
  </si>
  <si>
    <t>MDD (n=66)</t>
  </si>
  <si>
    <t xml:space="preserve">MDD (n=23)
</t>
  </si>
  <si>
    <t>MDD (n=50)</t>
  </si>
  <si>
    <t xml:space="preserve">MDD (n=28)  </t>
  </si>
  <si>
    <t xml:space="preserve"> Detection method (ELISA/Other) </t>
  </si>
  <si>
    <t xml:space="preserve">Sample source (Plasma/Serum) </t>
  </si>
  <si>
    <t>Serum</t>
  </si>
  <si>
    <t>Male/Female</t>
  </si>
  <si>
    <t xml:space="preserve"> 5/23</t>
  </si>
  <si>
    <t>SERUM</t>
  </si>
  <si>
    <t>18/30</t>
  </si>
  <si>
    <t xml:space="preserve"> Age</t>
  </si>
  <si>
    <t>Age</t>
  </si>
  <si>
    <t>HC = 7/8
MDD = 5/23</t>
  </si>
  <si>
    <t>HC =  42.0 ± 10.9
MDD =  47.3 ± 11.3</t>
  </si>
  <si>
    <t>47.3 ± 11.3</t>
  </si>
  <si>
    <t xml:space="preserve">Healthy Controls (n= 63) 
MDD (n= 48) </t>
  </si>
  <si>
    <t>HC = 16/47
MDD =  18/30</t>
  </si>
  <si>
    <t>HC =  42.25 ± 13.65
MDD =  38.02 ± 8.69</t>
  </si>
  <si>
    <t>Whole blood culture supernatant (stimulated with PHA and LPS)</t>
  </si>
  <si>
    <t xml:space="preserve"> 38.02 ± 8.69</t>
  </si>
  <si>
    <t>HC = 3/14
MDD = 3/19</t>
  </si>
  <si>
    <t>Healthy Controls (n=17)
MDD (n=22)</t>
  </si>
  <si>
    <t>HC = 39.7 ± 2.1
MDD = 39.4 ± 1.9</t>
  </si>
  <si>
    <t>39.5 ± 2.1</t>
  </si>
  <si>
    <t xml:space="preserve"> 2/12</t>
  </si>
  <si>
    <t xml:space="preserve">ELISA </t>
  </si>
  <si>
    <t>Plasma</t>
  </si>
  <si>
    <t>HC = 8/24
MDD = 6/24</t>
  </si>
  <si>
    <t>HC =  45.23 ± 11.623
MDD = 48.27 ± 9.674</t>
  </si>
  <si>
    <t xml:space="preserve"> 48.27 ± 9.674</t>
  </si>
  <si>
    <t xml:space="preserve"> 6/24</t>
  </si>
  <si>
    <t>Healthy Controls (n=19)
MDD (n=20)</t>
  </si>
  <si>
    <t>HC = 36.42 ± 12.13
MDD = 37.00 ± 10.77</t>
  </si>
  <si>
    <t>HC = 3/16
MDD = 7/13</t>
  </si>
  <si>
    <t>37.00 ± 10.77</t>
  </si>
  <si>
    <t xml:space="preserve"> 7/13</t>
  </si>
  <si>
    <t>16/50</t>
  </si>
  <si>
    <t>HC = 66.5 ± 64.69
MDD = 68 ± 60.73</t>
  </si>
  <si>
    <t>HC = 6/22
MDD = 16/50</t>
  </si>
  <si>
    <t xml:space="preserve"> 68 ± 60.73</t>
  </si>
  <si>
    <t>Multiplex bead-based flow cytometry assay (MILLIPLEX® MAP, Millipore)</t>
  </si>
  <si>
    <t>Luminex (bead-based multiplex assay, Millipore)</t>
  </si>
  <si>
    <t>HC = 35/25
MDD = 25/29</t>
  </si>
  <si>
    <t>HC = 31.57 ± 10.74 
MDD = 30.74 ± 10.96</t>
  </si>
  <si>
    <t xml:space="preserve">0.28 ± 0.54 </t>
  </si>
  <si>
    <t>-0.31 ± 0.70</t>
  </si>
  <si>
    <t xml:space="preserve">&lt;0.001 </t>
  </si>
  <si>
    <t>25/29</t>
  </si>
  <si>
    <t>30.74 ± 10.96</t>
  </si>
  <si>
    <t>MDD (n=54)</t>
  </si>
  <si>
    <t>0.28 ± 0.54</t>
  </si>
  <si>
    <t>-0.16 ± 0.69</t>
  </si>
  <si>
    <t>Multiplex bead immunoassay (R&amp;D Systems, LXSAHM-10 &amp; LXSAHM-27)</t>
  </si>
  <si>
    <t>HC= 26/35
MDD = 22/37</t>
  </si>
  <si>
    <t>HC = 41.15 ± 1.39
MDD = 38.00 ± 1.90</t>
  </si>
  <si>
    <t xml:space="preserve"> 22/37</t>
  </si>
  <si>
    <t>MDD (n=59)</t>
  </si>
  <si>
    <t>38.00 ± 1.90</t>
  </si>
  <si>
    <t>Multiplex bead immunoassay (LXSAHM-10 &amp; LXSAHM-27, R&amp;D Systems)</t>
  </si>
  <si>
    <t>HC = 8/15
MDD = 8/15</t>
  </si>
  <si>
    <t xml:space="preserve">HC = 38.91 ± 10.38
MDD = 39.87 ± 15.80 </t>
  </si>
  <si>
    <t>9.82 ± 1.49</t>
  </si>
  <si>
    <t>29.08 ± 16.96</t>
  </si>
  <si>
    <t>26.00 ± 21.29</t>
  </si>
  <si>
    <t>451.24 ± 383.24</t>
  </si>
  <si>
    <t>12.13 ± 16.58</t>
  </si>
  <si>
    <t>7.77 ± 9.22</t>
  </si>
  <si>
    <t xml:space="preserve"> 8/15</t>
  </si>
  <si>
    <t xml:space="preserve"> 39.87 ± 15.80</t>
  </si>
  <si>
    <t>HC = 20/30
MDD = 18/32</t>
  </si>
  <si>
    <t>HC = 42.87 ± 12.36
MDD = 41.2 ± 12.31</t>
  </si>
  <si>
    <t>18/32</t>
  </si>
  <si>
    <t xml:space="preserve"> 41.2 ± 12.31</t>
  </si>
  <si>
    <t>12-week</t>
  </si>
  <si>
    <t>20-week</t>
  </si>
  <si>
    <t xml:space="preserve">Hernandez et al. (2008) </t>
  </si>
  <si>
    <t>Increase in IL-6 levels among major depressive disorder patients after a 6-week treatment with duloxetine 60 mg/day: A preliminary observation.</t>
  </si>
  <si>
    <t>Effects of bupropion augmentation on pro-inflammatory cytokines in escitalopram-resistant patients with major depressive disorder.</t>
  </si>
  <si>
    <t>Variations in circulating cytokine levels during 52 week course of treatment with SSRI for major depressive disorder.</t>
  </si>
  <si>
    <t xml:space="preserve">Cytokine profiles in women with different subtypes of major depressive disorder. </t>
  </si>
  <si>
    <t xml:space="preserve"> Increased serum tumor necrosis factor-alpha levels and treatment response in major depressive disorder.</t>
  </si>
  <si>
    <t>Multiplex panel (Bio-Plex Pro™ 27-plex + 4-plex)</t>
  </si>
  <si>
    <t>Pasma</t>
  </si>
  <si>
    <t>28/74</t>
  </si>
  <si>
    <t xml:space="preserve"> 42.4 ± 10.7 </t>
  </si>
  <si>
    <t>Bupropion/Escitalopram (n=36)
Escitalopram/Placebo  (n=29)
Venlafaxine+Mirtazapine (n=37)</t>
  </si>
  <si>
    <t>Duloxetine (n = 22)  
Escitalopram (n = 14)
Sertraline (n = 10)  
Paroxetine (n = 7)
Fluoxetine (n =2)
 Venlafaxine (n = 4)</t>
  </si>
  <si>
    <t xml:space="preserve">Germany </t>
  </si>
  <si>
    <t>Bead array flow cytometry / Bio-Plex Pro™ Human Cytokine Assay</t>
  </si>
  <si>
    <t>Lithium +
SSRI (n=51) 
SNRI (n=22) 
TCA (n=10) 
NDRI (n=5) 
Agomelatine (n=2)
NaSSA (n=13) 
MAOI (n=2) 
Second generation antipsychotics (n=26) 
Antiepileptic drugs (n=16) 
Benzodiazepines (n=20)</t>
  </si>
  <si>
    <t>38/57</t>
  </si>
  <si>
    <t>49.32 ± 15.11</t>
  </si>
  <si>
    <t>The Phosphodiesterase Inhibitor Pentoxifylline
as a Novel Adjunct to Antidepressants in Major
Depressive Disorder Patients: A Proof-of-Concept,
Randomized, Double-Blind, Placebo-Controlled
Trial</t>
  </si>
  <si>
    <t>Elisa</t>
  </si>
  <si>
    <t>32.73±8.38</t>
  </si>
  <si>
    <t>20/20</t>
  </si>
  <si>
    <t>MDD (n= 40)</t>
  </si>
  <si>
    <t>Egypt</t>
  </si>
  <si>
    <t xml:space="preserve">Escitalopram (n=16)
Mirtazapine (n=10)  
Escitalopram + Mirtazapine (n=1)
Escitalopram + Olanzapine (n=1).   
Mirtazapine + Agomelatina (n=1)       
Duloxetine (n=1) </t>
  </si>
  <si>
    <t>Multiplex bead-based immunoassay (Bio-Plex Pro human cytokine Th1/Th2, Bio-Rad, Germany)</t>
  </si>
  <si>
    <t>37.03 ± 13.09</t>
  </si>
  <si>
    <t xml:space="preserve"> 13/17</t>
  </si>
  <si>
    <t>Taiwan</t>
  </si>
  <si>
    <t>Multiplex bead-based immunoassay (xMAP Luminex technology)</t>
  </si>
  <si>
    <t>Healthy Controls (n=90)
MDD (n=50)</t>
  </si>
  <si>
    <t xml:space="preserve"> 11.52 (11.15)</t>
  </si>
  <si>
    <t xml:space="preserve"> 8.00 (7.60)</t>
  </si>
  <si>
    <t>15.95 (15.43)</t>
  </si>
  <si>
    <t>43.95 (47.74)</t>
  </si>
  <si>
    <t xml:space="preserve">  8.62 (9.32)</t>
  </si>
  <si>
    <t>7.15 (7.49)</t>
  </si>
  <si>
    <t xml:space="preserve"> 9.06 (9.05)</t>
  </si>
  <si>
    <t xml:space="preserve"> 1.63 (2.32)</t>
  </si>
  <si>
    <t xml:space="preserve">  14.53 (18.93)</t>
  </si>
  <si>
    <t>&lt; 0.001</t>
  </si>
  <si>
    <t>HC = 41/49
MDD = 31/19</t>
  </si>
  <si>
    <t>HC = 38.91 ± 9.79
MDD = 43.42 ± 13.17</t>
  </si>
  <si>
    <t xml:space="preserve"> 31/19</t>
  </si>
  <si>
    <t>43.42 ± 13.17</t>
  </si>
  <si>
    <t>Fornaro et al., 2011</t>
  </si>
  <si>
    <t>10.2147/NDT.S16382</t>
  </si>
  <si>
    <t>Healthy Controls (n=16)
MDD (n=16)</t>
  </si>
  <si>
    <t>HC = 7/9
MDD = 4/12</t>
  </si>
  <si>
    <t>HC = 51.1 ± 11
MDD = 44 ± 11.6</t>
  </si>
  <si>
    <t>44 ± 11.6</t>
  </si>
  <si>
    <t xml:space="preserve"> 4/12</t>
  </si>
  <si>
    <t>MDD (n=16)</t>
  </si>
  <si>
    <t>12.38 ± 19.80</t>
  </si>
  <si>
    <t>19.73 ± 18.94</t>
  </si>
  <si>
    <t>12.25 ± 21.12</t>
  </si>
  <si>
    <t xml:space="preserve"> TNF-α</t>
  </si>
  <si>
    <t>Estonia</t>
  </si>
  <si>
    <t>Chemiluminescent immunometric assay (IMMULITE system)</t>
  </si>
  <si>
    <t>Eller et al., 2009</t>
  </si>
  <si>
    <t>Healthy Controls (n=45)
MDD (n=28)</t>
  </si>
  <si>
    <t>HC = 32.9 ± 14.1
MDD = 31.2 ± 9.5</t>
  </si>
  <si>
    <t>HC = 19/26
MDD = 11/17</t>
  </si>
  <si>
    <t>MDD (n=28)</t>
  </si>
  <si>
    <t xml:space="preserve"> 11/17</t>
  </si>
  <si>
    <t>31.2 ± 9.5</t>
  </si>
  <si>
    <t>Escitalopram + Bupropion (n = 28)</t>
  </si>
  <si>
    <t xml:space="preserve"> 6.89 ± 2.20</t>
  </si>
  <si>
    <t>6.42 ± 1.94</t>
  </si>
  <si>
    <t xml:space="preserve"> 6.54 ± 2.13</t>
  </si>
  <si>
    <t xml:space="preserve"> 6.55 ± 2.89</t>
  </si>
  <si>
    <t>6.55 ± 2.89</t>
  </si>
  <si>
    <t>6.94 ± 2.34</t>
  </si>
  <si>
    <t>7.04 ± 2.85</t>
  </si>
  <si>
    <t>Eller et al., 2008</t>
  </si>
  <si>
    <t>Pro-inflammatory cytokines and treatment response to escitaloprsam
in major depressive disorder</t>
  </si>
  <si>
    <t>10.1016/j.pnpbp.2007.09.015</t>
  </si>
  <si>
    <t>10.1177/0269881108091077</t>
  </si>
  <si>
    <t>doi:10.1016/j.pnpbp.2007.09.015</t>
  </si>
  <si>
    <t>Healthy Controls (n= 45)
MDD (n= 100)</t>
  </si>
  <si>
    <t xml:space="preserve">HC = 32.9 ± 14.1
MDD = 32.1 ± 11.9 </t>
  </si>
  <si>
    <t>HC = 19/26
MDD = 35/65</t>
  </si>
  <si>
    <t xml:space="preserve"> 6.31 (±1.95)</t>
  </si>
  <si>
    <t>7.74 ±1.95</t>
  </si>
  <si>
    <t>6.42 ±1.94</t>
  </si>
  <si>
    <t xml:space="preserve"> 6.31 ±1.95</t>
  </si>
  <si>
    <t xml:space="preserve"> 5.70 ±1.55</t>
  </si>
  <si>
    <t>6.93 (±2.32)</t>
  </si>
  <si>
    <t>5.70 (±1.55)</t>
  </si>
  <si>
    <t>6.27 (±1.94)</t>
  </si>
  <si>
    <t>MDD (n= 100)</t>
  </si>
  <si>
    <t xml:space="preserve"> 35/65</t>
  </si>
  <si>
    <t xml:space="preserve">32.1 ± 11.9 </t>
  </si>
  <si>
    <t>Mexico</t>
  </si>
  <si>
    <t xml:space="preserve"> IL-4</t>
  </si>
  <si>
    <t xml:space="preserve"> IL-13</t>
  </si>
  <si>
    <t>10.1016/j.euroneuro.2008.08.001</t>
  </si>
  <si>
    <t>Healthy Controls (n= 22)
MDD (n= 31)</t>
  </si>
  <si>
    <t>HC = 30.75 ± 6.25
MDD =  32.00 ± 9.40</t>
  </si>
  <si>
    <t xml:space="preserve">HC = 7/15
MDD =  9/22 </t>
  </si>
  <si>
    <t xml:space="preserve"> 32.00 ± 9.40</t>
  </si>
  <si>
    <t xml:space="preserve"> 9/22</t>
  </si>
  <si>
    <t>MDD (n = 31)</t>
  </si>
  <si>
    <t>5-week</t>
  </si>
  <si>
    <t xml:space="preserve">Fluoxetine(n = 19)
 Paroxetine (n = 7)
Sertraline (n = 5) </t>
  </si>
  <si>
    <t>254.73 ± 75.34</t>
  </si>
  <si>
    <t>86.29 ± 15.58</t>
  </si>
  <si>
    <t>1714.65 ± 186.63</t>
  </si>
  <si>
    <t>542.32 ± 81.63</t>
  </si>
  <si>
    <t>17.68 ± 3.83</t>
  </si>
  <si>
    <t>116.04 ± 28.72</t>
  </si>
  <si>
    <t>54.93 ± 19.69</t>
  </si>
  <si>
    <t>3658.59 ± 684.75</t>
  </si>
  <si>
    <t>777.23 ± 90.64</t>
  </si>
  <si>
    <t>12.82 ± 3.84</t>
  </si>
  <si>
    <t>&lt; 0.01</t>
  </si>
  <si>
    <t xml:space="preserve"> 45.28 ± 16.10</t>
  </si>
  <si>
    <t>182.26 ± 62.13</t>
  </si>
  <si>
    <t>127.09 ± 34.26</t>
  </si>
  <si>
    <t>33.3 ± 5.59</t>
  </si>
  <si>
    <t>ELISA (Stimulated with LPS at 1 μg/mL for 24 hours)</t>
  </si>
  <si>
    <t>Heparinized whole blood</t>
  </si>
  <si>
    <t xml:space="preserve"> IL-6</t>
  </si>
  <si>
    <t>Hernandez et al., 2008</t>
  </si>
  <si>
    <t xml:space="preserve">Marques-Deak et al., 2007 </t>
  </si>
  <si>
    <t>Brazil</t>
  </si>
  <si>
    <t>10.1016/j.jpsychires.2005.11.003</t>
  </si>
  <si>
    <t xml:space="preserve">Cytokine profiles in women with different subtypes of major depressive disorder. 
</t>
  </si>
  <si>
    <t>Healthy Controls (n= 41)
MDD (n= 46)</t>
  </si>
  <si>
    <t xml:space="preserve">HC =  37.0 ± 9.9
MDD =  39.4 ± 10.2 </t>
  </si>
  <si>
    <t>Imipramine (n = 12)
Sertraline (n = 15)</t>
  </si>
  <si>
    <t xml:space="preserve">39.4 ± 10.2 </t>
  </si>
  <si>
    <t>35.2 ± 14.1 (n = 38)</t>
  </si>
  <si>
    <t xml:space="preserve"> 129.3 ± 61.6 (n = 39)</t>
  </si>
  <si>
    <t>148.4 ± 149.8 (n = 36)</t>
  </si>
  <si>
    <t xml:space="preserve"> 36.4 ± 18.5 (n = 45)</t>
  </si>
  <si>
    <t xml:space="preserve">HC = 0/41
MDD = 0/46 </t>
  </si>
  <si>
    <t>132.4 ± 83.2 (n = 46)</t>
  </si>
  <si>
    <t xml:space="preserve"> 197.4 ± 230.8 (n = 46)</t>
  </si>
  <si>
    <t>MDD Recurrent (n= 24)</t>
  </si>
  <si>
    <t xml:space="preserve">MDD = 0/24 </t>
  </si>
  <si>
    <t>38.9 ± 18.0 (n = 23)</t>
  </si>
  <si>
    <t>50.6 ± 30.4 (n = 15)</t>
  </si>
  <si>
    <t xml:space="preserve"> 119.4 ± 61.9 (n = 24)</t>
  </si>
  <si>
    <t>176 ± 69.0 (n = 15)</t>
  </si>
  <si>
    <t xml:space="preserve"> 241.7 ± 273.0 (n = 24)</t>
  </si>
  <si>
    <t>282.6 ± 247.0 (n = 14)</t>
  </si>
  <si>
    <t>10.1007/s00213-003-1566-z</t>
  </si>
  <si>
    <t>Turkey</t>
  </si>
  <si>
    <t>Solid-phase, two-site chemiluminescent enzyme immunometric assay</t>
  </si>
  <si>
    <t xml:space="preserve">Tuglu et al., 2003 </t>
  </si>
  <si>
    <t>4,75 ± 1,29</t>
  </si>
  <si>
    <t>9,08 ± 3,23</t>
  </si>
  <si>
    <t>5,19 ± 1,18</t>
  </si>
  <si>
    <t>0,000</t>
  </si>
  <si>
    <t xml:space="preserve">Healthy Controls (n=17)
MDD (n=26) </t>
  </si>
  <si>
    <t>HC = 11/6
MDD = 15/11</t>
  </si>
  <si>
    <t>HC = 37.11 ± 11.08
MDD =  39.38 ± 14.56</t>
  </si>
  <si>
    <t xml:space="preserve">Sertraline (n = 11)
Citalopram (n = 8) 
Fluoxetine (n = 4)
Fluvoxamine (n = 2)
Paroxetine (n = 1) </t>
  </si>
  <si>
    <t xml:space="preserve">MDD (n=26) </t>
  </si>
  <si>
    <t xml:space="preserve"> 15/11</t>
  </si>
  <si>
    <t>39.38 ± 14.56</t>
  </si>
  <si>
    <t xml:space="preserve"> Iran</t>
  </si>
  <si>
    <t xml:space="preserve"> Fluoxetine (n = 14)</t>
  </si>
  <si>
    <t>37.00 ± 8.49</t>
  </si>
  <si>
    <t xml:space="preserve"> 04/10</t>
  </si>
  <si>
    <t>Effects of eicosapentaenoic acid and fluoxetine on plasma cortisol, serum
interleukin-1beta and interleukin-6 concentrations in patients with major
depressive disorder</t>
  </si>
  <si>
    <t>4.21 ± 2.97</t>
  </si>
  <si>
    <t>4.7 3± 3.37</t>
  </si>
  <si>
    <t xml:space="preserve"> 2.12 ± 2.34</t>
  </si>
  <si>
    <t>1.83 ± 1.51</t>
  </si>
  <si>
    <t>Myint et al., 2005</t>
  </si>
  <si>
    <t>Seoul, Republic of Korea</t>
  </si>
  <si>
    <t>Th1, Th2, and Th3 cytokine alterations in major depression</t>
  </si>
  <si>
    <t>10.1016/j.jad.2005.07.008</t>
  </si>
  <si>
    <t xml:space="preserve">Paroxetine (n = 8)
Fluoxetine (n = 6)
Nefazodone (n = 5)
Venlafaxine (n = 3)
 Antipsychotic medication (risperidone or olanzapine) (n = 6)  </t>
  </si>
  <si>
    <t>MDD (n = 40)</t>
  </si>
  <si>
    <t xml:space="preserve"> 8-week</t>
  </si>
  <si>
    <t>Healthy Controls (n=80)
MDD (n = 40)</t>
  </si>
  <si>
    <t>HC = 26/54
MDD =  13/27</t>
  </si>
  <si>
    <t>HC = 40.3 ± 13.1
MDD =  40.7 ± 15.5</t>
  </si>
  <si>
    <t>10.92 ± 1.04 (n = 18)</t>
  </si>
  <si>
    <t>41.28 ± 20.2 (n = 18)</t>
  </si>
  <si>
    <t>82.1 ± 124.39 (n = 3)</t>
  </si>
  <si>
    <t>21.67 ± 20.73 (n = 3)</t>
  </si>
  <si>
    <t>19.8 ± 26.7 (n = 10)</t>
  </si>
  <si>
    <t>11.2 ± 7.2 (n = 10)</t>
  </si>
  <si>
    <t xml:space="preserve"> 9.2 ± 2.1 (n = 10) </t>
  </si>
  <si>
    <t>14.2 ± 24.6 (n = 10)</t>
  </si>
  <si>
    <t>n.s</t>
  </si>
  <si>
    <t>13/27</t>
  </si>
  <si>
    <t>40.7 ± 15.5</t>
  </si>
  <si>
    <t>Th2 cytokine response in Major Depressive Disorder patients
before treatment</t>
  </si>
  <si>
    <t>10.1016/j.jneuroim.2005.08.014</t>
  </si>
  <si>
    <t>Pavón et al., 2005</t>
  </si>
  <si>
    <t xml:space="preserve"> Mexico </t>
  </si>
  <si>
    <t>279.54 ± 39.01</t>
  </si>
  <si>
    <t>12.95 ± 0.48</t>
  </si>
  <si>
    <t>22.09 ± 2.34</t>
  </si>
  <si>
    <t>2361.18 ± 200.24</t>
  </si>
  <si>
    <t>151 ± 16.82</t>
  </si>
  <si>
    <t>47.64 ± 4.48</t>
  </si>
  <si>
    <t>4448.72 ± 426.38</t>
  </si>
  <si>
    <t>7.81 ± 0.71</t>
  </si>
  <si>
    <t xml:space="preserve">Healthy Controls (n=33)
MDD (n=33) </t>
  </si>
  <si>
    <t>HC = 5/28
MDD =5/28</t>
  </si>
  <si>
    <t>HC = 32.3 ± 10.8
MDD =  33.6 ± 10.2</t>
  </si>
  <si>
    <t>&lt;0.05</t>
  </si>
  <si>
    <t>Das et al., 2020</t>
  </si>
  <si>
    <t xml:space="preserve">Higher levels of serum IL-1β and TNF-α are associated with an increased
probability of major depressive disorder </t>
  </si>
  <si>
    <t>https://doi.org/10.1016/j.psychres.2020.113568</t>
  </si>
  <si>
    <t xml:space="preserve">Bangladesh </t>
  </si>
  <si>
    <t>Healthy Controls (n=87)
MDD (n=87)</t>
  </si>
  <si>
    <t>HC = 37/50
MDD = 32/55</t>
  </si>
  <si>
    <t>HC = 30.46 ± 8.41 
MDD = 31.33 ± 9.36</t>
  </si>
  <si>
    <t>11.21 ± 8.46</t>
  </si>
  <si>
    <t>5.99 ± 2.31</t>
  </si>
  <si>
    <t>63.37 ± 49.64</t>
  </si>
  <si>
    <t>28.22 ± 9.96</t>
  </si>
  <si>
    <t>Fan et al., 2017</t>
  </si>
  <si>
    <t>Healthy Controls (n=80)
MDD (n=64)</t>
  </si>
  <si>
    <t>HC =  65/15
MDD = 20/44</t>
  </si>
  <si>
    <t>HC = 26.77 ± 5.37
MDD =  35.17 ± 12.01</t>
  </si>
  <si>
    <t>1.39 ± 0.35</t>
  </si>
  <si>
    <t>0.45 ± 0.28</t>
  </si>
  <si>
    <t xml:space="preserve"> 4.65 ± 1.58</t>
  </si>
  <si>
    <t>2.24 ± 1.44</t>
  </si>
  <si>
    <t>Altered serum levels of TNF‐α, IL‐6, and IL‐18 in depressive
disorder patients</t>
  </si>
  <si>
    <t>https://doi.org/10.1002/hup.2588</t>
  </si>
  <si>
    <t>Yao et al., 2020</t>
  </si>
  <si>
    <t>Tumor Necrosis Factor-α Variations
in Patients With Major Depressive
Disorder Before and After
Antidepressant Treatment</t>
  </si>
  <si>
    <t xml:space="preserve"> 10.3389/fpsyt.2020.518837</t>
  </si>
  <si>
    <t>3.5 ± 0.7</t>
  </si>
  <si>
    <t>7.7 ± 2.6</t>
  </si>
  <si>
    <t>4.3 ± 2.7</t>
  </si>
  <si>
    <t>Healthy Controls (n=30)
MDD (n=57)</t>
  </si>
  <si>
    <t>HC = 58.1 ± 15.1
MDD = 57.0 ± 10.6</t>
  </si>
  <si>
    <t>HC = 14/16
MDD = 11/46</t>
  </si>
  <si>
    <t>MDD (n=57)</t>
  </si>
  <si>
    <t xml:space="preserve"> 11/46</t>
  </si>
  <si>
    <t>57.0 ± 10.6</t>
  </si>
  <si>
    <t>Escitalopram (n = 26)
Paroxetine (n =  14)
Velafaxine (n =  12)
Duloxetine (n = 5)</t>
  </si>
  <si>
    <t xml:space="preserve">10.1016/j.jneuroim.2005.08.014
</t>
  </si>
  <si>
    <t xml:space="preserve">Marques-Deak et al., 2007 
</t>
  </si>
  <si>
    <t>Supplementary Table S3. Inclusion and Exclusion Criteria</t>
  </si>
  <si>
    <t>628.79 ± 171.30</t>
  </si>
  <si>
    <t>100.57 ± 175.40</t>
  </si>
  <si>
    <t>3643.37 ± 265.52</t>
  </si>
  <si>
    <t>Duloxetine (n = 16)</t>
  </si>
  <si>
    <t>0.96 ± 0.84 (n = 17)</t>
  </si>
  <si>
    <t>0.27 ± 0.35 (n = 17)</t>
  </si>
  <si>
    <t>1.31 ± 0.98 (n = 17)</t>
  </si>
  <si>
    <t>0.37 ± 0.62 (n = 17)</t>
  </si>
  <si>
    <t>Escitalopram + Pentoxifylline (n = 38)</t>
  </si>
  <si>
    <t>Supplementary Table S1. Structured vocabulary used to determine the search strategy.</t>
  </si>
  <si>
    <t>-</t>
  </si>
  <si>
    <t xml:space="preserve">Paroxetine (n = 8)
Fluoxetine (n = 6)
Nefazodone (n = 5)
Venlafaxine (n = 3)
 Antipsychotic medication
 (risperidone or olanzapine) (n = 6)  </t>
  </si>
  <si>
    <t>The Phosphodiesterase Inhibitor Pentoxifylline as a Novel Adjunct to Antidepressants in Major Depressive Disorder Patients: A Proof-of-Concept,
Randomized, Double-Blind, Placebo-Controlled Trial</t>
  </si>
  <si>
    <t>Healthy Controls (n= 41)
MDD (n= 46)
MDD Recurrent (n= 24)</t>
  </si>
  <si>
    <t xml:space="preserve">HC = 0/41
MDD = 0/46
MDD R = 0/24 </t>
  </si>
  <si>
    <t>HC = 7/15
MDD =  9/22</t>
  </si>
  <si>
    <t>MDD =  04/10</t>
  </si>
  <si>
    <t>MDD = 37.00 ± 8.49</t>
  </si>
  <si>
    <t>MDD = 13/17</t>
  </si>
  <si>
    <t>MDD = 37.03 ± 13.09</t>
  </si>
  <si>
    <t>MDD = 28/74</t>
  </si>
  <si>
    <t xml:space="preserve"> MDD = 42.4 ± 10.7 </t>
  </si>
  <si>
    <t>MDD = 38/57</t>
  </si>
  <si>
    <t>MDD = 49.32 ± 15.11</t>
  </si>
  <si>
    <t>MDD = 20/20</t>
  </si>
  <si>
    <t>MDD = 32.73 ± 8.38</t>
  </si>
  <si>
    <t>Healthy Controls (n=23)
MDD (n=23)</t>
  </si>
  <si>
    <t>0.136</t>
  </si>
  <si>
    <t>0.332</t>
  </si>
  <si>
    <t>0.426</t>
  </si>
  <si>
    <t>0.236</t>
  </si>
  <si>
    <t>0.084</t>
  </si>
  <si>
    <t>0.739</t>
  </si>
  <si>
    <t>0.844</t>
  </si>
  <si>
    <t>0.249</t>
  </si>
  <si>
    <t>0.032</t>
  </si>
  <si>
    <t>0.503</t>
  </si>
  <si>
    <t>0.834</t>
  </si>
  <si>
    <t>0.986</t>
  </si>
  <si>
    <t>0.945</t>
  </si>
  <si>
    <t>0.946</t>
  </si>
  <si>
    <t>0.710</t>
  </si>
  <si>
    <t>0.592</t>
  </si>
  <si>
    <t>0.465</t>
  </si>
  <si>
    <t>0.029</t>
  </si>
  <si>
    <t>0.615</t>
  </si>
  <si>
    <t>0.019</t>
  </si>
  <si>
    <t>0.312</t>
  </si>
  <si>
    <t>0.121</t>
  </si>
  <si>
    <t>0.067</t>
  </si>
  <si>
    <t>0.046</t>
  </si>
  <si>
    <t>0.122</t>
  </si>
  <si>
    <t>0.728</t>
  </si>
  <si>
    <t>0.350</t>
  </si>
  <si>
    <t>0.508</t>
  </si>
  <si>
    <t>0.048</t>
  </si>
  <si>
    <t>0.590</t>
  </si>
  <si>
    <t>0.978</t>
  </si>
  <si>
    <t>0.633</t>
  </si>
  <si>
    <t>0.450</t>
  </si>
  <si>
    <t>1.000</t>
  </si>
  <si>
    <t>0.888</t>
  </si>
  <si>
    <t>0.354</t>
  </si>
  <si>
    <t>0.374</t>
  </si>
  <si>
    <t>0.575</t>
  </si>
  <si>
    <t>0.606</t>
  </si>
  <si>
    <t>0.150</t>
  </si>
  <si>
    <t>0.109</t>
  </si>
  <si>
    <t>0.307</t>
  </si>
  <si>
    <t>0.909</t>
  </si>
  <si>
    <t>0.201</t>
  </si>
  <si>
    <t>0.455</t>
  </si>
  <si>
    <t>0.873</t>
  </si>
  <si>
    <t>0.556</t>
  </si>
  <si>
    <t>0.127</t>
  </si>
  <si>
    <t>0.026</t>
  </si>
  <si>
    <t>0.015</t>
  </si>
  <si>
    <t>0.707</t>
  </si>
  <si>
    <t>0.030</t>
  </si>
  <si>
    <t>0.333</t>
  </si>
  <si>
    <t>0.216</t>
  </si>
  <si>
    <t>0.099</t>
  </si>
  <si>
    <t>0.158</t>
  </si>
  <si>
    <t>0.929</t>
  </si>
  <si>
    <t>0.428</t>
  </si>
  <si>
    <t>0.445</t>
  </si>
  <si>
    <t>0.263</t>
  </si>
  <si>
    <t>0.573</t>
  </si>
  <si>
    <t>0.490</t>
  </si>
  <si>
    <t>0.726</t>
  </si>
  <si>
    <t>0.011</t>
  </si>
  <si>
    <t>0.654</t>
  </si>
  <si>
    <t>0.252</t>
  </si>
  <si>
    <t>0.068</t>
  </si>
  <si>
    <t>0.721</t>
  </si>
  <si>
    <t>0.686</t>
  </si>
  <si>
    <t>0.857</t>
  </si>
  <si>
    <t>0.387</t>
  </si>
  <si>
    <t>0.292</t>
  </si>
  <si>
    <t>0.034</t>
  </si>
  <si>
    <t>0.072</t>
  </si>
  <si>
    <t>0.160</t>
  </si>
  <si>
    <t>0.436</t>
  </si>
  <si>
    <t>p-value*</t>
  </si>
  <si>
    <t>p-value**</t>
  </si>
  <si>
    <t>p-value**: paired t-test</t>
  </si>
  <si>
    <t>p-value*: two-sample t-test (Welch’s correction)</t>
  </si>
  <si>
    <t>References</t>
  </si>
  <si>
    <t>Th1</t>
  </si>
  <si>
    <t>Cytokines</t>
  </si>
  <si>
    <t>Others Cytokines</t>
  </si>
  <si>
    <t>Th2</t>
  </si>
  <si>
    <t>Figure - Neuronal function:</t>
  </si>
  <si>
    <t>Figure - Immune effects:</t>
  </si>
  <si>
    <t>Figure - Structure Brain:</t>
  </si>
  <si>
    <t>Extra NEURO</t>
  </si>
  <si>
    <t>Extra IMUNNE</t>
  </si>
  <si>
    <t>Extra STRUCTURE</t>
  </si>
  <si>
    <t>Interleukin-2 and its receptors: Implications and therapeutic prospects in immune-mediated disorders of central nervous system (Zhang  et al., 2025)</t>
  </si>
  <si>
    <r>
      <t xml:space="preserve">Interleukin-2 (IL-2), primarily produced by activated T cells, exerts key immunological effects predominantly on T cells and natural killer (NK) cells. </t>
    </r>
    <r>
      <rPr>
        <sz val="12"/>
        <color rgb="FFFF0000"/>
        <rFont val="Aptos Narrow (Corpo)"/>
      </rPr>
      <t>[Zhang  et al., 2025].</t>
    </r>
    <r>
      <rPr>
        <sz val="12"/>
        <color theme="1"/>
        <rFont val="Aptos Narrow"/>
        <family val="2"/>
        <scheme val="minor"/>
      </rPr>
      <t xml:space="preserve"> IL-2 and its receptor (IL-2R) are also expressed in nonimmune cells, including neurons and glial cells within the brain. IL-2, the first cytokine obtained through molecular cloning, plays crucial roles in both CNS and peripheral immune regulation </t>
    </r>
    <r>
      <rPr>
        <sz val="12"/>
        <color rgb="FFFF0000"/>
        <rFont val="Aptos Narrow (Corpo)"/>
      </rPr>
      <t>[Zhang  et al., 2025]</t>
    </r>
    <r>
      <rPr>
        <sz val="12"/>
        <color theme="1"/>
        <rFont val="Aptos Narrow"/>
        <family val="2"/>
        <scheme val="minor"/>
      </rPr>
      <t xml:space="preserve">. Its immunomodulatory effects on lymphocytes, particularly on promoting T-cell proliferation and differentiation into effector and memory cells, are wellcharacterized. However, the functions of IL-2/IL-2R in CNS diseases were less clear </t>
    </r>
    <r>
      <rPr>
        <sz val="12"/>
        <color rgb="FFFF0000"/>
        <rFont val="Aptos Narrow (Corpo)"/>
      </rPr>
      <t>[Zhang  et al., 2025]</t>
    </r>
    <r>
      <rPr>
        <sz val="12"/>
        <color theme="1"/>
        <rFont val="Aptos Narrow"/>
        <family val="2"/>
        <scheme val="minor"/>
      </rPr>
      <t xml:space="preserve">. Despite the immune inflammatory factors are involved in neurological disorders such as MS, AD, IS, and encephalitis, the expression and role of IL-2 and IL-2R vary significantly across different brain regions and conditions </t>
    </r>
    <r>
      <rPr>
        <sz val="12"/>
        <color rgb="FFFF0000"/>
        <rFont val="Aptos Narrow (Corpo)"/>
      </rPr>
      <t>[Hanisch et al., 1995].</t>
    </r>
    <r>
      <rPr>
        <sz val="12"/>
        <color theme="1"/>
        <rFont val="Aptos Narrow"/>
        <family val="2"/>
        <scheme val="minor"/>
      </rPr>
      <t xml:space="preserve">
This paradox may be explained by IL-2’s dual role: on the one hand, it not only stimulates immunosuppressive cells like regulatory T cells (Tregs), but alsoactivates effector CD4+/CD8+ T cells and memory cells, which can
amplify immune responses </t>
    </r>
    <r>
      <rPr>
        <sz val="12"/>
        <color rgb="FFFF0000"/>
        <rFont val="Aptos Narrow (Corpo)"/>
      </rPr>
      <t>[Schroeter et al., 2005]</t>
    </r>
    <r>
      <rPr>
        <sz val="12"/>
        <color theme="1"/>
        <rFont val="Aptos Narrow"/>
        <family val="2"/>
        <scheme val="minor"/>
      </rPr>
      <t xml:space="preserve">; on the other hand, IL-2 modulates inflammation and disease progression not only through binding to a broad spectrum of IL-2R-expressing immune cells </t>
    </r>
    <r>
      <rPr>
        <sz val="12"/>
        <color rgb="FFFF0000"/>
        <rFont val="Aptos Narrow (Corpo)"/>
      </rPr>
      <t xml:space="preserve">[Spolski et al.,2018; Graßhoff et al., 2021] </t>
    </r>
    <r>
      <rPr>
        <sz val="12"/>
        <color theme="1"/>
        <rFont val="Aptos Narrow"/>
        <family val="2"/>
        <scheme val="minor"/>
      </rPr>
      <t xml:space="preserve">, but also by regulating the number of immune cells expressing different IL-2R subtypes and affecting the affinity of lymphocytes for IL-2 </t>
    </r>
    <r>
      <rPr>
        <sz val="12"/>
        <color rgb="FFFF0000"/>
        <rFont val="Aptos Narrow (Corpo)"/>
      </rPr>
      <t>[Louapre et al., 2023]</t>
    </r>
    <r>
      <rPr>
        <sz val="12"/>
        <color theme="1"/>
        <rFont val="Aptos Narrow"/>
        <family val="2"/>
        <scheme val="minor"/>
      </rPr>
      <t xml:space="preserve">. These intricate regulatory mechanisms highlight the necessity for a comprehensive examination of IL-2/IL-2R dynamics in the immune-inflammation of CNS diseases  </t>
    </r>
    <r>
      <rPr>
        <sz val="12"/>
        <color rgb="FFFF0000"/>
        <rFont val="Aptos Narrow (Corpo)"/>
      </rPr>
      <t>[Zhang  et al., 2025].</t>
    </r>
    <r>
      <rPr>
        <sz val="12"/>
        <color theme="1"/>
        <rFont val="Aptos Narrow"/>
        <family val="2"/>
        <scheme val="minor"/>
      </rPr>
      <t xml:space="preserve"> </t>
    </r>
  </si>
  <si>
    <r>
      <t>Various biological techniques revealed that IL-2/IL-2R molecules can be detected in multiple areas of brain, such as the frontal cortex, septal nuclei, striatum, corpus callosum, hippocampus, thalamus, hypothalamus, olfactory bulb, and cerebellum, with expression observed in both neurons and glial cells</t>
    </r>
    <r>
      <rPr>
        <sz val="12"/>
        <color rgb="FFFF0000"/>
        <rFont val="Aptos Narrow (Corpo)"/>
      </rPr>
      <t xml:space="preserve"> [Hanisch et al., 1995]</t>
    </r>
    <r>
      <rPr>
        <sz val="12"/>
        <color theme="1"/>
        <rFont val="Aptos Narrow"/>
        <scheme val="minor"/>
      </rPr>
      <t xml:space="preserve">. </t>
    </r>
  </si>
  <si>
    <r>
      <t xml:space="preserve">Synaptic modulation, exacerbation of neuroinflammation
</t>
    </r>
    <r>
      <rPr>
        <b/>
        <sz val="12"/>
        <color rgb="FFFF0000"/>
        <rFont val="Aptos Narrow (Corpo)"/>
      </rPr>
      <t>Yang et al., 2025</t>
    </r>
  </si>
  <si>
    <r>
      <t>IFN-γ, the sole type II interferon, is a soluble pro-inflammatory cytokine primarily produced by T helper cell type 1 (Th1) lymphocytes, CD8+
 cytotoxic T cells, natural killer (NK) cells, and microglia within the CNS (</t>
    </r>
    <r>
      <rPr>
        <sz val="12"/>
        <color rgb="FFFF0000"/>
        <rFont val="Aptos Narrow (Corpo)"/>
      </rPr>
      <t>Monteiro et al., 2017</t>
    </r>
    <r>
      <rPr>
        <sz val="12"/>
        <color theme="1"/>
        <rFont val="Aptos Narrow"/>
        <family val="2"/>
        <scheme val="minor"/>
      </rPr>
      <t>). It exerts its biological effects via binding to the IFNGR1/IFNGR2 receptor complex expressed on both microglia and neurons (</t>
    </r>
    <r>
      <rPr>
        <sz val="12"/>
        <color rgb="FFFF0000"/>
        <rFont val="Aptos Narrow (Corpo)"/>
      </rPr>
      <t>Monteiro et al., 2017</t>
    </r>
    <r>
      <rPr>
        <sz val="12"/>
        <color theme="1"/>
        <rFont val="Aptos Narrow"/>
        <family val="2"/>
        <scheme val="minor"/>
      </rPr>
      <t>). IFN-γ is a potent activator of microglia, inducing phenotypic polarization, receptor upregulation, morphological changes, and elevated expression of inflammatory mediators, including autocrine IFN-γ release. This, in turn, initiates transcriptional programs that drive classical activation (</t>
    </r>
    <r>
      <rPr>
        <sz val="12"/>
        <color rgb="FFFF0000"/>
        <rFont val="Aptos Narrow (Corpo)"/>
      </rPr>
      <t>Vergara et al., 2019; Lewen et al., 2020; Ta
et al., 2019</t>
    </r>
    <r>
      <rPr>
        <sz val="12"/>
        <color theme="1"/>
        <rFont val="Aptos Narrow"/>
        <family val="2"/>
        <scheme val="minor"/>
      </rPr>
      <t>).</t>
    </r>
  </si>
  <si>
    <r>
      <t>IFN-γ deficient mice display improved hippocampal synaptic architecture, neuronal morphology, and cognitive performance, suggesting that basal IFN-γ negatively regulates synaptic plasticity (</t>
    </r>
    <r>
      <rPr>
        <sz val="12"/>
        <color rgb="FFFF0000"/>
        <rFont val="Aptos Narrow (Corpo)"/>
      </rPr>
      <t>Monteiro et al., 2016</t>
    </r>
    <r>
      <rPr>
        <sz val="12"/>
        <color theme="1"/>
        <rFont val="Aptos Narrow"/>
        <scheme val="minor"/>
      </rPr>
      <t>). Mechanistically, IFN-γ activates STAT1 signaling in hippocampal microglia, priming them for excessive pruning and disrupting social memory via aberrant microglia–neuron interactions (</t>
    </r>
    <r>
      <rPr>
        <sz val="12"/>
        <color rgb="FFFF0000"/>
        <rFont val="Aptos Narrow (Corpo)"/>
      </rPr>
      <t>He et al., 2024</t>
    </r>
    <r>
      <rPr>
        <sz val="12"/>
        <color theme="1"/>
        <rFont val="Aptos Narrow"/>
        <scheme val="minor"/>
      </rPr>
      <t>). Despite its deleterious roles, IFN-γ also exerts context-dependent neuroprotective functions. In models of immune dysfunction, IFN-γ enhances GABAergic currents in the prefrontal cortex (PFC) neurons, preventing hyperexcitability and preserving social behavior (</t>
    </r>
    <r>
      <rPr>
        <sz val="12"/>
        <color rgb="FFFF0000"/>
        <rFont val="Aptos Narrow (Corpo)"/>
      </rPr>
      <t>Filiano et al., 2016</t>
    </r>
    <r>
      <rPr>
        <sz val="12"/>
        <color theme="1"/>
        <rFont val="Aptos Narrow"/>
        <scheme val="minor"/>
      </rPr>
      <t>). In AD models, IFN-γ facilitates amyloid-β clearance by restoring autophagy in microglia (</t>
    </r>
    <r>
      <rPr>
        <sz val="12"/>
        <color rgb="FFFF0000"/>
        <rFont val="Aptos Narrow (Corpo)"/>
      </rPr>
      <t>He et al., 2020</t>
    </r>
    <r>
      <rPr>
        <sz val="12"/>
        <color theme="1"/>
        <rFont val="Aptos Narrow"/>
        <scheme val="minor"/>
      </rPr>
      <t>). Environmental enrichment–induced synaptic benefits, including elevated dendritic spine density and LTP, are abrogated by IFN-γ blockade, further supporting its context-specific modulatory role (</t>
    </r>
    <r>
      <rPr>
        <sz val="12"/>
        <color rgb="FFFF0000"/>
        <rFont val="Aptos Narrow (Corpo)"/>
      </rPr>
      <t>Qi et al., 2018</t>
    </r>
    <r>
      <rPr>
        <sz val="12"/>
        <color theme="1"/>
        <rFont val="Aptos Narrow"/>
        <scheme val="minor"/>
      </rPr>
      <t>). Thus, IFN-γ emerges as a double-edged cytokine—detrimental when dysregulated, yet potentially protective under physiological or therapeutic conditions (</t>
    </r>
    <r>
      <rPr>
        <sz val="12"/>
        <color rgb="FFFF0000"/>
        <rFont val="Aptos Narrow (Corpo)"/>
      </rPr>
      <t>John and Darcy, 2016</t>
    </r>
    <r>
      <rPr>
        <sz val="12"/>
        <color theme="1"/>
        <rFont val="Aptos Narrow"/>
        <scheme val="minor"/>
      </rPr>
      <t>).</t>
    </r>
  </si>
  <si>
    <r>
      <t>Functionally, IFN-γ-activated microglia modulate synaptic integrity and plasticity. In hippocampal slice cultures, IFN-γ stimulation enhances microglial activation and proliferation, accompanied by morphological remodeling and increased production of nitric oxide and pro-inflammatory cytokines (</t>
    </r>
    <r>
      <rPr>
        <sz val="12"/>
        <color rgb="FFFF0000"/>
        <rFont val="Aptos Narrow (Corpo)"/>
      </rPr>
      <t>Lewen et al., 2020; Ta et al., 2019</t>
    </r>
    <r>
      <rPr>
        <sz val="12"/>
        <color theme="1"/>
        <rFont val="Aptos Narrow"/>
        <family val="2"/>
        <scheme val="minor"/>
      </rPr>
      <t>). These changes underlie heightened synaptic pruning and impaired neuroplasticity. For instance, systemic delivery of IFN-γ upregulates major histocompatibility complex class I (MHCI) in the mPFC, promoting synapse elimination (</t>
    </r>
    <r>
      <rPr>
        <sz val="12"/>
        <color rgb="FFFF0000"/>
        <rFont val="Aptos Narrow (Corpo)"/>
      </rPr>
      <t>Sobue et al., 2018</t>
    </r>
    <r>
      <rPr>
        <sz val="12"/>
        <color theme="1"/>
        <rFont val="Aptos Narrow"/>
        <family val="2"/>
        <scheme val="minor"/>
      </rPr>
      <t>). IFN-γdeficient mice display improved hippocampal synaptic architecture,
neuronal morphology, and cognitive performance, suggesting that
basal IFN-γ negatively regulates synaptic plasticity (</t>
    </r>
    <r>
      <rPr>
        <sz val="12"/>
        <color rgb="FFFF0000"/>
        <rFont val="Aptos Narrow (Corpo)"/>
      </rPr>
      <t>Monteiro et al.,
2016)</t>
    </r>
    <r>
      <rPr>
        <sz val="12"/>
        <color theme="1"/>
        <rFont val="Aptos Narrow"/>
        <family val="2"/>
        <scheme val="minor"/>
      </rPr>
      <t xml:space="preserve">. Mechanistically, IFN-γ activates STAT1 signaling in hippocampal microglia, priming them for excessive pruning and disrupting social memory via aberrant microglia–neuron interactions </t>
    </r>
    <r>
      <rPr>
        <sz val="12"/>
        <color rgb="FFFF0000"/>
        <rFont val="Aptos Narrow (Corpo)"/>
      </rPr>
      <t>(He et al., 2024).</t>
    </r>
    <r>
      <rPr>
        <sz val="12"/>
        <color theme="1"/>
        <rFont val="Aptos Narrow"/>
        <family val="2"/>
        <scheme val="minor"/>
      </rPr>
      <t xml:space="preserve">
</t>
    </r>
    <r>
      <rPr>
        <sz val="12"/>
        <color rgb="FFFF0000"/>
        <rFont val="Aptos Narrow (Corpo)"/>
      </rPr>
      <t>Yang et al., 2025</t>
    </r>
  </si>
  <si>
    <t xml:space="preserve">Microglia-orchestrated neuroinflammation and synaptic remodeling: roles of pro-inflammatory cytokines and receptors in neurodegeneration
Yang et al., 2025
</t>
  </si>
  <si>
    <r>
      <t xml:space="preserve">Macrophage activation, promotes Th1, antiviral response
</t>
    </r>
    <r>
      <rPr>
        <b/>
        <sz val="12"/>
        <color rgb="FFFF0000"/>
        <rFont val="Aptos Narrow (Corpo)"/>
      </rPr>
      <t>Chen et al., 2023</t>
    </r>
  </si>
  <si>
    <r>
      <t xml:space="preserve">Modulates neuronal excitability and synaptic plasticity
</t>
    </r>
    <r>
      <rPr>
        <b/>
        <sz val="12"/>
        <color rgb="FFFF0000"/>
        <rFont val="Aptos Narrow (Corpo)"/>
      </rPr>
      <t>Lisowska et al., 2025</t>
    </r>
  </si>
  <si>
    <r>
      <t xml:space="preserve">Pro-inflammatory chemokine that recruits neutrophils, activates microglia/astrocytes.
</t>
    </r>
    <r>
      <rPr>
        <b/>
        <sz val="12"/>
        <color rgb="FFFF0000"/>
        <rFont val="Aptos Narrow (Corpo)"/>
      </rPr>
      <t>Lisowska et al., 2025</t>
    </r>
  </si>
  <si>
    <r>
      <t xml:space="preserve">IL-8 is implicated in several neuroimmune processes, including recruitment of immune cells to the CNS, particularly under conditions of blood–brain barrier (BBB) disruption </t>
    </r>
    <r>
      <rPr>
        <sz val="12"/>
        <color rgb="FFFF0000"/>
        <rFont val="Aptos Narrow (Corpo)"/>
      </rPr>
      <t>[Al-Obaidi et al., 2028; Sun et al., 2016</t>
    </r>
    <r>
      <rPr>
        <sz val="12"/>
        <color theme="1"/>
        <rFont val="Aptos Narrow"/>
        <family val="2"/>
        <scheme val="minor"/>
      </rPr>
      <t>], activation of microglia, and modulation of synaptic plasticity [</t>
    </r>
    <r>
      <rPr>
        <sz val="12"/>
        <color rgb="FFFF0000"/>
        <rFont val="Aptos Narrow (Corpo)"/>
      </rPr>
      <t>Cui et al., 2019</t>
    </r>
    <r>
      <rPr>
        <sz val="12"/>
        <color theme="1"/>
        <rFont val="Aptos Narrow"/>
        <family val="2"/>
        <scheme val="minor"/>
      </rPr>
      <t>], possibly via effects on glutamate signaling [</t>
    </r>
    <r>
      <rPr>
        <sz val="12"/>
        <color rgb="FFFF0000"/>
        <rFont val="Aptos Narrow (Corpo)"/>
      </rPr>
      <t>Limatola et al., 2002</t>
    </r>
    <r>
      <rPr>
        <sz val="12"/>
        <color theme="1"/>
        <rFont val="Aptos Narrow"/>
        <family val="2"/>
        <scheme val="minor"/>
      </rPr>
      <t>] and oxidative stress [</t>
    </r>
    <r>
      <rPr>
        <sz val="12"/>
        <color rgb="FFFF0000"/>
        <rFont val="Aptos Narrow (Corpo)"/>
      </rPr>
      <t>Wu et al., 2021</t>
    </r>
    <r>
      <rPr>
        <sz val="12"/>
        <color theme="1"/>
        <rFont val="Aptos Narrow"/>
        <family val="2"/>
        <scheme val="minor"/>
      </rPr>
      <t>].  Elevated IL-8 may also amplify neuroinflammation by recruiting peripheral immune cells across the BBB and stimulating them to produce more proinflammatory cytokines, thus contributing to sustained neuroimmune dysregulation [</t>
    </r>
    <r>
      <rPr>
        <sz val="12"/>
        <color rgb="FFFF0000"/>
        <rFont val="Aptos Narrow (Corpo)"/>
      </rPr>
      <t>Sun et al., 2016</t>
    </r>
    <r>
      <rPr>
        <sz val="12"/>
        <color theme="1"/>
        <rFont val="Aptos Narrow"/>
        <family val="2"/>
        <scheme val="minor"/>
      </rPr>
      <t>]. Studies have also shown that IL-8 can modulate the activity of glial cells [</t>
    </r>
    <r>
      <rPr>
        <sz val="12"/>
        <color rgb="FFFF0000"/>
        <rFont val="Aptos Narrow (Corpo)"/>
      </rPr>
      <t>Malgorzata et al., 2005</t>
    </r>
    <r>
      <rPr>
        <sz val="12"/>
        <color theme="1"/>
        <rFont val="Aptos Narrow"/>
        <family val="2"/>
        <scheme val="minor"/>
      </rPr>
      <t>], enhance neuronal survival, and stimulate the proliferation of glial cells and astrocytes [</t>
    </r>
    <r>
      <rPr>
        <sz val="12"/>
        <color rgb="FFFF0000"/>
        <rFont val="Aptos Narrow (Corpo)"/>
      </rPr>
      <t>Araujo et al., 1993</t>
    </r>
    <r>
      <rPr>
        <sz val="12"/>
        <color theme="1"/>
        <rFont val="Aptos Narrow"/>
        <family val="2"/>
        <scheme val="minor"/>
      </rPr>
      <t>].</t>
    </r>
  </si>
  <si>
    <r>
      <t>IL-8 is a key chemoattractant and activator of neutrophils, playing an essential role in acute inflammation [</t>
    </r>
    <r>
      <rPr>
        <sz val="12"/>
        <color rgb="FFFF0000"/>
        <rFont val="Aptos Narrow (Corpo)"/>
      </rPr>
      <t>Harada et al., 1994</t>
    </r>
    <r>
      <rPr>
        <sz val="12"/>
        <color theme="1"/>
        <rFont val="Aptos Narrow"/>
        <family val="2"/>
        <scheme val="minor"/>
      </rPr>
      <t>]. Its expression in different cells is initiated by pro-inflammatory cytokines TNF-α and IL-1β [</t>
    </r>
    <r>
      <rPr>
        <sz val="12"/>
        <color rgb="FFFF0000"/>
        <rFont val="Aptos Narrow (Corpo)"/>
      </rPr>
      <t>Kim et al., 2010; O’Hara et al., 2009</t>
    </r>
    <r>
      <rPr>
        <sz val="12"/>
        <color theme="1"/>
        <rFont val="Aptos Narrow"/>
        <family val="2"/>
        <scheme val="minor"/>
      </rPr>
      <t>]. Neutrophils stimulated with IL-8 undergo chemotaxis [</t>
    </r>
    <r>
      <rPr>
        <sz val="12"/>
        <color rgb="FFFF0000"/>
        <rFont val="Aptos Narrow (Corpo)"/>
      </rPr>
      <t>Hammond et al., 1995</t>
    </r>
    <r>
      <rPr>
        <sz val="12"/>
        <color theme="1"/>
        <rFont val="Aptos Narrow"/>
        <family val="2"/>
        <scheme val="minor"/>
      </rPr>
      <t>], respiratory burst [</t>
    </r>
    <r>
      <rPr>
        <sz val="12"/>
        <color rgb="FFFF0000"/>
        <rFont val="Aptos Narrow (Corpo)"/>
      </rPr>
      <t>Guichard et al., 2005</t>
    </r>
    <r>
      <rPr>
        <sz val="12"/>
        <color theme="1"/>
        <rFont val="Aptos Narrow"/>
        <family val="2"/>
        <scheme val="minor"/>
      </rPr>
      <t>], and degranulation—mechanisms essential in host defense but also potentially damaging when dysregulated [</t>
    </r>
    <r>
      <rPr>
        <sz val="12"/>
        <color rgb="FFFF0000"/>
        <rFont val="Aptos Narrow (Corpo)"/>
      </rPr>
      <t>Partsch et al., 1992</t>
    </r>
    <r>
      <rPr>
        <sz val="12"/>
        <color theme="1"/>
        <rFont val="Aptos Narrow"/>
        <family val="2"/>
        <scheme val="minor"/>
      </rPr>
      <t>]. IL-8 also induces neutrophil extracellular trap (NET) formation in response to tissue damage [</t>
    </r>
    <r>
      <rPr>
        <sz val="12"/>
        <color rgb="FFFF0000"/>
        <rFont val="Aptos Narrow (Corpo)"/>
      </rPr>
      <t>Asiri et al., 2024</t>
    </r>
    <r>
      <rPr>
        <sz val="12"/>
        <color theme="1"/>
        <rFont val="Aptos Narrow"/>
        <family val="2"/>
        <scheme val="minor"/>
      </rPr>
      <t>], during systemic inflammatory response syndrome (SIRS) [</t>
    </r>
    <r>
      <rPr>
        <sz val="12"/>
        <color rgb="FFFF0000"/>
        <rFont val="Aptos Narrow (Corpo)"/>
      </rPr>
      <t>Keshari, et al., 2012</t>
    </r>
    <r>
      <rPr>
        <sz val="12"/>
        <color theme="1"/>
        <rFont val="Aptos Narrow"/>
        <family val="2"/>
        <scheme val="minor"/>
      </rPr>
      <t>] or infection [</t>
    </r>
    <r>
      <rPr>
        <sz val="12"/>
        <color rgb="FFFF0000"/>
        <rFont val="Aptos Narrow (Corpo)"/>
      </rPr>
      <t>Zhu et al., 2018</t>
    </r>
    <r>
      <rPr>
        <sz val="12"/>
        <color theme="1"/>
        <rFont val="Aptos Narrow"/>
        <family val="2"/>
        <scheme val="minor"/>
      </rPr>
      <t>]. Beyond neutrophils, IL-8 modulates adhesion molecule expression, endothelial permeability, and angiogenesis [</t>
    </r>
    <r>
      <rPr>
        <sz val="12"/>
        <color rgb="FFFF0000"/>
        <rFont val="Aptos Narrow (Corpo)"/>
      </rPr>
      <t>Yoshida et al., 1997</t>
    </r>
    <r>
      <rPr>
        <sz val="12"/>
        <color theme="1"/>
        <rFont val="Aptos Narrow"/>
        <family val="2"/>
        <scheme val="minor"/>
      </rPr>
      <t>]. According to some studies, IL-8 can also enhance endothelial cell survival by stimulation of anti-apoptotic gene expression (e.g., Bcl-2) [</t>
    </r>
    <r>
      <rPr>
        <sz val="12"/>
        <color rgb="FFFF0000"/>
        <rFont val="Aptos Narrow (Corpo)"/>
      </rPr>
      <t>Li et al., 2003</t>
    </r>
    <r>
      <rPr>
        <sz val="12"/>
        <color theme="1"/>
        <rFont val="Aptos Narrow"/>
        <family val="2"/>
        <scheme val="minor"/>
      </rPr>
      <t>]. IL-8 also contributes to tissue remodeling and maintenance of low-grade inflammatory states [</t>
    </r>
    <r>
      <rPr>
        <sz val="12"/>
        <color rgb="FFFF0000"/>
        <rFont val="Aptos Narrow (Corpo)"/>
      </rPr>
      <t>Yoon et al., 2010</t>
    </r>
    <r>
      <rPr>
        <sz val="12"/>
        <color theme="1"/>
        <rFont val="Aptos Narrow"/>
        <family val="2"/>
        <scheme val="minor"/>
      </rPr>
      <t>]. IL-8 expression is tightly regulated at the transcriptional and post-transcriptional level by nuclear factor-kappa B (NF-κB) [</t>
    </r>
    <r>
      <rPr>
        <sz val="12"/>
        <color rgb="FFFF0000"/>
        <rFont val="Aptos Narrow (Corpo)"/>
      </rPr>
      <t>Osawa et al., 2002; Smith et al., 2001; Jung et al., 2002]</t>
    </r>
    <r>
      <rPr>
        <sz val="12"/>
        <color theme="1"/>
        <rFont val="Aptos Narrow"/>
        <family val="2"/>
        <scheme val="minor"/>
      </rPr>
      <t>, activator protein-1 (AP-1) [</t>
    </r>
    <r>
      <rPr>
        <sz val="12"/>
        <color rgb="FFFF0000"/>
        <rFont val="Aptos Narrow (Corpo)"/>
      </rPr>
      <t>Smith et al., 2001; Jung et al., 2002</t>
    </r>
    <r>
      <rPr>
        <sz val="12"/>
        <color theme="1"/>
        <rFont val="Aptos Narrow"/>
        <family val="2"/>
        <scheme val="minor"/>
      </rPr>
      <t>], and hypoxia-inducible factors (HIFs) [</t>
    </r>
    <r>
      <rPr>
        <sz val="12"/>
        <color rgb="FFFF0000"/>
        <rFont val="Aptos Narrow (Corpo)"/>
      </rPr>
      <t>Florczyk et al., 2011</t>
    </r>
    <r>
      <rPr>
        <sz val="12"/>
        <color theme="1"/>
        <rFont val="Aptos Narrow"/>
        <family val="2"/>
        <scheme val="minor"/>
      </rPr>
      <t>]. Importantly, IL-8 levels are also influenced by factors common in depression, such as stress [</t>
    </r>
    <r>
      <rPr>
        <sz val="12"/>
        <color rgb="FFFF0000"/>
        <rFont val="Aptos Narrow (Corpo)"/>
      </rPr>
      <t>Dutheil et al., 2013</t>
    </r>
    <r>
      <rPr>
        <sz val="12"/>
        <color theme="1"/>
        <rFont val="Aptos Narrow"/>
        <family val="2"/>
        <scheme val="minor"/>
      </rPr>
      <t>], obesity [</t>
    </r>
    <r>
      <rPr>
        <sz val="12"/>
        <color rgb="FFFF0000"/>
        <rFont val="Aptos Narrow (Corpo)"/>
      </rPr>
      <t>Straczkowski et al., 2003</t>
    </r>
    <r>
      <rPr>
        <sz val="12"/>
        <color theme="1"/>
        <rFont val="Aptos Narrow"/>
        <family val="2"/>
        <scheme val="minor"/>
      </rPr>
      <t>], metabolic syndrome [</t>
    </r>
    <r>
      <rPr>
        <sz val="12"/>
        <color rgb="FFFF0000"/>
        <rFont val="Aptos Narrow (Corpo)"/>
      </rPr>
      <t>Makiel et al., 2023</t>
    </r>
    <r>
      <rPr>
        <sz val="12"/>
        <color theme="1"/>
        <rFont val="Aptos Narrow"/>
        <family val="2"/>
        <scheme val="minor"/>
      </rPr>
      <t>], and circadian disruption [</t>
    </r>
    <r>
      <rPr>
        <sz val="12"/>
        <color rgb="FFFF0000"/>
        <rFont val="Aptos Narrow (Corpo)"/>
      </rPr>
      <t>Rahman et al., 2015</t>
    </r>
    <r>
      <rPr>
        <sz val="12"/>
        <color theme="1"/>
        <rFont val="Aptos Narrow"/>
        <family val="2"/>
        <scheme val="minor"/>
      </rPr>
      <t>]. The increase in IL-8 in these conditions is most likely a consequence of the chronic inflammation that accompanies them, but its exact role is less well-known. Early studies demonstrated that IL-8 can serve as a mediator of angiogenesis [</t>
    </r>
    <r>
      <rPr>
        <sz val="12"/>
        <color rgb="FFFF0000"/>
        <rFont val="Aptos Narrow (Corpo)"/>
      </rPr>
      <t>Koch et al., 1992</t>
    </r>
    <r>
      <rPr>
        <sz val="12"/>
        <color theme="1"/>
        <rFont val="Aptos Narrow"/>
        <family val="2"/>
        <scheme val="minor"/>
      </rPr>
      <t>], a hallmark of chronic inflammation. Later, it was confirmed that IL-8, together with vascular endothelial growth factor (VEGF) and basic fibroblast growth factor (bFGF), is involved in the tubular morphogenesis in endothelial cells in response to stimulation with TNF-α [</t>
    </r>
    <r>
      <rPr>
        <sz val="12"/>
        <color rgb="FFFF0000"/>
        <rFont val="Aptos Narrow (Corpo)"/>
      </rPr>
      <t>Yoshida et al., 1997</t>
    </r>
    <r>
      <rPr>
        <sz val="12"/>
        <color theme="1"/>
        <rFont val="Aptos Narrow"/>
        <family val="2"/>
        <scheme val="minor"/>
      </rPr>
      <t>]. In chronic pancreatic diseases, IL-8 was found to increase the expression of metalloproteinases (MMP), thus contributing to the invasiveness of human pancreatic cancer [</t>
    </r>
    <r>
      <rPr>
        <sz val="12"/>
        <color rgb="FFFF0000"/>
        <rFont val="Aptos Narrow (Corpo)"/>
      </rPr>
      <t>Kuwada et al., 2003</t>
    </r>
    <r>
      <rPr>
        <sz val="12"/>
        <color theme="1"/>
        <rFont val="Aptos Narrow"/>
        <family val="2"/>
        <scheme val="minor"/>
      </rPr>
      <t>]. Although historically associated with peripheral inflammation, IL-8 and its receptors are also present in the CNS. Microglia [</t>
    </r>
    <r>
      <rPr>
        <sz val="12"/>
        <color rgb="FFFF0000"/>
        <rFont val="Aptos Narrow (Corpo)"/>
      </rPr>
      <t>Ehrlich et al., 1998</t>
    </r>
    <r>
      <rPr>
        <sz val="12"/>
        <color theme="1"/>
        <rFont val="Aptos Narrow"/>
        <family val="2"/>
        <scheme val="minor"/>
      </rPr>
      <t>] and astrocytes [</t>
    </r>
    <r>
      <rPr>
        <sz val="12"/>
        <color rgb="FFFF0000"/>
        <rFont val="Aptos Narrow (Corpo)"/>
      </rPr>
      <t>Robinson et al., 2020</t>
    </r>
    <r>
      <rPr>
        <sz val="12"/>
        <color theme="1"/>
        <rFont val="Aptos Narrow"/>
        <family val="2"/>
        <scheme val="minor"/>
      </rPr>
      <t>] can secrete IL-8 in response to injury [</t>
    </r>
    <r>
      <rPr>
        <sz val="12"/>
        <color rgb="FFFF0000"/>
        <rFont val="Aptos Narrow (Corpo)"/>
      </rPr>
      <t>Kossmann et al., 1997</t>
    </r>
    <r>
      <rPr>
        <sz val="12"/>
        <color theme="1"/>
        <rFont val="Aptos Narrow"/>
        <family val="2"/>
        <scheme val="minor"/>
      </rPr>
      <t>] or inflammation [</t>
    </r>
    <r>
      <rPr>
        <sz val="12"/>
        <color rgb="FFFF0000"/>
        <rFont val="Aptos Narrow (Corpo)"/>
      </rPr>
      <t>Lipovsky, et al., 1990]</t>
    </r>
    <r>
      <rPr>
        <sz val="12"/>
        <color theme="1"/>
        <rFont val="Aptos Narrow"/>
        <family val="2"/>
        <scheme val="minor"/>
      </rPr>
      <t>. Expression of IL-8 receptors, mainly CXCR2, has been demonstrated in neurons [</t>
    </r>
    <r>
      <rPr>
        <sz val="12"/>
        <color rgb="FFFF0000"/>
        <rFont val="Aptos Narrow (Corpo)"/>
      </rPr>
      <t>Du et al., 2018</t>
    </r>
    <r>
      <rPr>
        <sz val="12"/>
        <color theme="1"/>
        <rFont val="Aptos Narrow"/>
        <family val="2"/>
        <scheme val="minor"/>
      </rPr>
      <t>], astrocytes [</t>
    </r>
    <r>
      <rPr>
        <sz val="12"/>
        <color rgb="FFFF0000"/>
        <rFont val="Aptos Narrow (Corpo)"/>
      </rPr>
      <t>Dorf et al., 2000</t>
    </r>
    <r>
      <rPr>
        <sz val="12"/>
        <color theme="1"/>
        <rFont val="Aptos Narrow"/>
        <family val="2"/>
        <scheme val="minor"/>
      </rPr>
      <t>], and glial cells [</t>
    </r>
    <r>
      <rPr>
        <sz val="12"/>
        <color rgb="FFFF0000"/>
        <rFont val="Aptos Narrow (Corpo)"/>
      </rPr>
      <t>Omari et al., 2006</t>
    </r>
    <r>
      <rPr>
        <sz val="12"/>
        <color theme="1"/>
        <rFont val="Aptos Narrow"/>
        <family val="2"/>
        <scheme val="minor"/>
      </rPr>
      <t>], suggesting potential autocrine or paracrine effects within the brain [</t>
    </r>
    <r>
      <rPr>
        <sz val="12"/>
        <color rgb="FFFF0000"/>
        <rFont val="Aptos Narrow (Corpo)"/>
      </rPr>
      <t>Robson et al., 2020</t>
    </r>
    <r>
      <rPr>
        <sz val="12"/>
        <color theme="1"/>
        <rFont val="Aptos Narrow"/>
        <family val="2"/>
        <scheme val="minor"/>
      </rPr>
      <t>].</t>
    </r>
  </si>
  <si>
    <r>
      <t>Licinio et al. [</t>
    </r>
    <r>
      <rPr>
        <sz val="12"/>
        <color rgb="FFFF0000"/>
        <rFont val="Aptos Narrow (Corpo)"/>
      </rPr>
      <t>Licinio et al., 1992</t>
    </r>
    <r>
      <rPr>
        <sz val="12"/>
        <color theme="1"/>
        <rFont val="Aptos Narrow"/>
        <scheme val="minor"/>
      </rPr>
      <t>] suggested that the presence of IL-8 and its receptors in the hypothalamus and hippocampus could be relevant for the regulation of stress-related neuroendocrine function.</t>
    </r>
  </si>
  <si>
    <r>
      <t>Beyond direct synaptic effects, IL-1β interferes with BDNF signaling. It disrupts BDNF-Akt/CREB pathways, reducing LTP and contributing to synaptic degeneration (</t>
    </r>
    <r>
      <rPr>
        <sz val="12"/>
        <color rgb="FFFF0000"/>
        <rFont val="Aptos Narrow (Corpo)"/>
      </rPr>
      <t>Li et al., 2024; Dong et al., 2018; Carlos et al., 2017</t>
    </r>
    <r>
      <rPr>
        <sz val="12"/>
        <color theme="1"/>
        <rFont val="Aptos Narrow"/>
        <family val="2"/>
        <scheme val="minor"/>
      </rPr>
      <t>). Knockdown of IL-1β restores inflammation-induced downregulation of BDNF and VGF (</t>
    </r>
    <r>
      <rPr>
        <sz val="12"/>
        <color rgb="FFFF0000"/>
        <rFont val="Aptos Narrow (Corpo)"/>
      </rPr>
      <t>Li et al., 2017</t>
    </r>
    <r>
      <rPr>
        <sz val="12"/>
        <color theme="1"/>
        <rFont val="Aptos Narrow"/>
        <family val="2"/>
        <scheme val="minor"/>
      </rPr>
      <t>). Interestingly, BDNF can also stimulate IL-1β and TNF-α release from glial cells, creating a feedback loop that amplifies neuroinflammation (</t>
    </r>
    <r>
      <rPr>
        <sz val="12"/>
        <color rgb="FFFF0000"/>
        <rFont val="Aptos Narrow (Corpo)"/>
      </rPr>
      <t>Ding et al., 2020</t>
    </r>
    <r>
      <rPr>
        <sz val="12"/>
        <color theme="1"/>
        <rFont val="Aptos Narrow"/>
        <family val="2"/>
        <scheme val="minor"/>
      </rPr>
      <t>). Depending on context, IL-1β-induced microglial activation may either exacerbate or mitigate neuronal injury by modulating BDNF release (</t>
    </r>
    <r>
      <rPr>
        <sz val="12"/>
        <color rgb="FFFF0000"/>
        <rFont val="Aptos Narrow (Corpo)"/>
      </rPr>
      <t>Sung et al., 2017; Todd et al., 2019; Abd-El-Basset et al., 2020</t>
    </r>
    <r>
      <rPr>
        <sz val="12"/>
        <color theme="1"/>
        <rFont val="Aptos Narrow"/>
        <family val="2"/>
        <scheme val="minor"/>
      </rPr>
      <t>).</t>
    </r>
  </si>
  <si>
    <r>
      <t xml:space="preserve"> Its elevated expression in the cortex, striatum, and hippocampus is closely associated with cognitive deficits (</t>
    </r>
    <r>
      <rPr>
        <sz val="12"/>
        <color rgb="FFFF0000"/>
        <rFont val="Aptos Narrow (Corpo)"/>
      </rPr>
      <t>Yang et al., 2018; Zhao et al., 2019; Hoshino et al., 2021; Lin et al., 2019</t>
    </r>
    <r>
      <rPr>
        <sz val="12"/>
        <color theme="1"/>
        <rFont val="Aptos Narrow"/>
        <scheme val="minor"/>
      </rPr>
      <t>), prompting intensive investigations into its functional roles in neuroplasticity. Impairment of long-term potentiation (LTP) by IL-1β has been widely documented as a mechanism underlying memory deficits. Rodent studies demonstrate that increased IL-1β levels suppress hippocampal LTP and impair learning and memory (</t>
    </r>
    <r>
      <rPr>
        <sz val="12"/>
        <color rgb="FFFF0000"/>
        <rFont val="Aptos Narrow (Corpo)"/>
      </rPr>
      <t>Rizzo et al., 2018</t>
    </r>
    <r>
      <rPr>
        <sz val="12"/>
        <color theme="1"/>
        <rFont val="Aptos Narrow"/>
        <scheme val="minor"/>
      </rPr>
      <t>). Intracerebral injection of lipopolysaccharide (LPS) elevates IL-1β expression and disrupts LTP in the CA3-CA1 Schaffer collaterals (</t>
    </r>
    <r>
      <rPr>
        <sz val="12"/>
        <color rgb="FFFF0000"/>
        <rFont val="Aptos Narrow (Corpo)"/>
      </rPr>
      <t>Golia et al., 2019; Yang et al., 2019; Li et al., 2024</t>
    </r>
    <r>
      <rPr>
        <sz val="12"/>
        <color theme="1"/>
        <rFont val="Aptos Narrow"/>
        <scheme val="minor"/>
      </rPr>
      <t>). Similar inhibitory effects are seen when IL-1β is applied to hippocampal slices (</t>
    </r>
    <r>
      <rPr>
        <sz val="12"/>
        <color rgb="FFFF0000"/>
        <rFont val="Aptos Narrow (Corpo)"/>
      </rPr>
      <t>Hoshino et al., 2017; York et al., 2021</t>
    </r>
    <r>
      <rPr>
        <sz val="12"/>
        <color theme="1"/>
        <rFont val="Aptos Narrow"/>
        <scheme val="minor"/>
      </rPr>
      <t>) or isolated synaptosomes (</t>
    </r>
    <r>
      <rPr>
        <sz val="12"/>
        <color rgb="FFFF0000"/>
        <rFont val="Aptos Narrow (Corpo)"/>
      </rPr>
      <t>Prieto et al., 2019</t>
    </r>
    <r>
      <rPr>
        <sz val="12"/>
        <color theme="1"/>
        <rFont val="Aptos Narrow"/>
        <scheme val="minor"/>
      </rPr>
      <t>). These deficits can be reversed by IL-1 receptor antagonists such as IL-1RA or anakinra (</t>
    </r>
    <r>
      <rPr>
        <sz val="12"/>
        <color rgb="FFFF0000"/>
        <rFont val="Aptos Narrow (Corpo)"/>
      </rPr>
      <t>Hoshino et al., 2021; York et al., 2021; Prieto et al., 2019; Tong et al., 2018; Guo et al., 2020; Han et al., 2016</t>
    </r>
    <r>
      <rPr>
        <sz val="12"/>
        <color theme="1"/>
        <rFont val="Aptos Narrow"/>
        <scheme val="minor"/>
      </rPr>
      <t>). In delirium models, a negative correlation has been established between IL-1β levels and both LTP and hippocampus-dependent memory (</t>
    </r>
    <r>
      <rPr>
        <sz val="12"/>
        <color rgb="FFFF0000"/>
        <rFont val="Aptos Narrow (Corpo)"/>
      </rPr>
      <t>Tanaka et al., 2018</t>
    </r>
    <r>
      <rPr>
        <sz val="12"/>
        <color theme="1"/>
        <rFont val="Aptos Narrow"/>
        <scheme val="minor"/>
      </rPr>
      <t xml:space="preserve">).
</t>
    </r>
    <r>
      <rPr>
        <sz val="12"/>
        <color rgb="FFFF0000"/>
        <rFont val="Aptos Narrow (Corpo)"/>
      </rPr>
      <t>Yang et al., 2025</t>
    </r>
    <r>
      <rPr>
        <sz val="12"/>
        <color theme="1"/>
        <rFont val="Aptos Narrow"/>
        <scheme val="minor"/>
      </rPr>
      <t xml:space="preserve">
</t>
    </r>
  </si>
  <si>
    <r>
      <t>The Role of Interleukin-8 (IL-8) in Treatment-Resistant Depression: A Review of Mechanisms, Biomarker Potential, and Therapeutic Implications
L</t>
    </r>
    <r>
      <rPr>
        <b/>
        <sz val="12"/>
        <color rgb="FFFF0000"/>
        <rFont val="Aptos Narrow (Corpo)"/>
      </rPr>
      <t>isowska et al., 2025</t>
    </r>
  </si>
  <si>
    <r>
      <t>IL-6, a pleiotropic pro-inflammatory cytokine primarily secreted by activated microglia and astrocytes, exerts multifaceted effects on various CNS cell types through both membrane-bound IL-6 receptor (IL-6Rα) and soluble IL-6 receptor (sIL-6R) pathways (</t>
    </r>
    <r>
      <rPr>
        <sz val="12"/>
        <color rgb="FFFF0000"/>
        <rFont val="Aptos Narrow (Corpo)"/>
      </rPr>
      <t>Gruol et al., 2023</t>
    </r>
    <r>
      <rPr>
        <sz val="12"/>
        <color theme="1"/>
        <rFont val="Aptos Narrow"/>
        <family val="2"/>
        <scheme val="minor"/>
      </rPr>
      <t>). Beyond its pro-inflammatory roles, IL-6 also contributes to normal CNS physiology by modulating neuronal survival, synaptic function, and cognitive processes essential for brain development (</t>
    </r>
    <r>
      <rPr>
        <sz val="12"/>
        <color rgb="FFFF0000"/>
        <rFont val="Aptos Narrow (Corpo)"/>
      </rPr>
      <t>Erta et al., 2012)</t>
    </r>
    <r>
      <rPr>
        <sz val="12"/>
        <color theme="1"/>
        <rFont val="Aptos Narrow"/>
        <family val="2"/>
        <scheme val="minor"/>
      </rPr>
      <t>. Both IL-6 and its receptors are expressed in the hippocampus and play critical roles in CNS pathophysiology (</t>
    </r>
    <r>
      <rPr>
        <sz val="12"/>
        <color rgb="FFFF0000"/>
        <rFont val="Aptos Narrow (Corpo)"/>
      </rPr>
      <t>Lin et al., 2019; Li et al., 2016; Willis et al., 2020; Onufriev et al., 2017</t>
    </r>
    <r>
      <rPr>
        <sz val="12"/>
        <color theme="1"/>
        <rFont val="Aptos Narrow"/>
        <family val="2"/>
        <scheme val="minor"/>
      </rPr>
      <t xml:space="preserve">). Under physiological conditions, IL-6 is present at low levels; however, its expression markedly increases during infections, injuries, and neurodegenerative or psychiatric disorders, implicating IL-6 in the regulation of hippocampus-dependent synaptic plasticity and memory. </t>
    </r>
    <r>
      <rPr>
        <sz val="12"/>
        <color rgb="FFFF0000"/>
        <rFont val="Aptos Narrow (Corpo)"/>
      </rPr>
      <t>Yang et al., 2025</t>
    </r>
  </si>
  <si>
    <r>
      <t xml:space="preserve">Pleiotropic; regulates inflammation, Th17 differentiation
</t>
    </r>
    <r>
      <rPr>
        <b/>
        <sz val="12"/>
        <color rgb="FFFF0000"/>
        <rFont val="Aptos Narrow (Corpo)"/>
      </rPr>
      <t>Alwarawrah et al., 2025</t>
    </r>
  </si>
  <si>
    <r>
      <t xml:space="preserve">Interleukin-6 (IL-6) is a pleiotropic cytokine with roles in acute phase response, inflammation, and lymphocyte differentiation </t>
    </r>
    <r>
      <rPr>
        <sz val="12"/>
        <color rgb="FFFF0000"/>
        <rFont val="Aptos Narrow"/>
        <family val="2"/>
        <scheme val="minor"/>
      </rPr>
      <t>(Hunter, et al., 2015</t>
    </r>
    <r>
      <rPr>
        <sz val="12"/>
        <color rgb="FFFF0000"/>
        <rFont val="Aptos Narrow (Corpo)"/>
      </rPr>
      <t>, Rincon et al., 2012</t>
    </r>
    <r>
      <rPr>
        <sz val="12"/>
        <color theme="1"/>
        <rFont val="Aptos Narrow"/>
        <family val="2"/>
        <scheme val="minor"/>
      </rPr>
      <t>). IL-6 is secreted by various cell types including macrophages, fibroblasts, adipocytes, and skeletal muscle cells during exercise (</t>
    </r>
    <r>
      <rPr>
        <sz val="12"/>
        <color rgb="FFFF0000"/>
        <rFont val="Aptos Narrow (Corpo)"/>
      </rPr>
      <t>Grebenciucova et al., 2023</t>
    </r>
    <r>
      <rPr>
        <sz val="12"/>
        <color theme="1"/>
        <rFont val="Aptos Narrow"/>
        <family val="2"/>
        <scheme val="minor"/>
      </rPr>
      <t xml:space="preserve">). At the molecular level, binding of IL-6 to either its transmembrane receptor (IL-6R) or its soluble receptor (sIL-6R) allows the cytokine-receptor complex to bind with gp130 on target cells, leading to activation of downstream Jak-STAT and Ras-ERK signaling pathways </t>
    </r>
    <r>
      <rPr>
        <sz val="12"/>
        <color rgb="FFFF0000"/>
        <rFont val="Aptos Narrow (Corpo)"/>
      </rPr>
      <t>(Wolf et al., 2014</t>
    </r>
    <r>
      <rPr>
        <sz val="12"/>
        <color theme="1"/>
        <rFont val="Aptos Narrow"/>
        <family val="2"/>
        <scheme val="minor"/>
      </rPr>
      <t xml:space="preserve">). Several cell types such as hepatocytes, monocytes, and T cells express the IL-6R, making them responsive to IL-6 signal </t>
    </r>
    <r>
      <rPr>
        <sz val="12"/>
        <color rgb="FFFF0000"/>
        <rFont val="Aptos Narrow (Corpo)"/>
      </rPr>
      <t>(Wolf et al., 2014)</t>
    </r>
    <r>
      <rPr>
        <sz val="12"/>
        <color theme="1"/>
        <rFont val="Aptos Narrow"/>
        <family val="2"/>
        <scheme val="minor"/>
      </rPr>
      <t>. However, other cells that express gp130, such as smooth muscle cells and B cells, can respond to IL-6 signaling without IL-6R through sIL-6R (</t>
    </r>
    <r>
      <rPr>
        <sz val="12"/>
        <color rgb="FFFF0000"/>
        <rFont val="Aptos Narrow (Corpo)"/>
      </rPr>
      <t>Zhang et al., 2016</t>
    </r>
    <r>
      <rPr>
        <sz val="12"/>
        <color theme="1"/>
        <rFont val="Aptos Narrow"/>
        <family val="2"/>
        <scheme val="minor"/>
      </rPr>
      <t xml:space="preserve">). IL-6 signaling has been found to promote proliferation of T effector (Teff) cells in select contexts, increase differentiation of Teff cells into pro-inflammatory T helper 17 (Th17) cells, which produce the inflammatory cytokine IL-17, promote differentiation of T follicular helper cells, and inhibit the generation of T regulatory (Treg) cells </t>
    </r>
    <r>
      <rPr>
        <sz val="12"/>
        <color rgb="FFFF0000"/>
        <rFont val="Aptos Narrow (Corpo)"/>
      </rPr>
      <t>(Crotty et al., 2014; Bettelli, et al., 2006)</t>
    </r>
    <r>
      <rPr>
        <sz val="12"/>
        <color theme="1"/>
        <rFont val="Aptos Narrow"/>
        <family val="2"/>
        <scheme val="minor"/>
      </rPr>
      <t>. T cell metabolism and function are tightly connected, and different metabolic programs are required for T cells to perform specific functions. In general, Teff cells primarily rely on glycolysis to meet their energy demands while naïve, Treg, and memory T cells predominantly utilize oxidative metabolism (</t>
    </r>
    <r>
      <rPr>
        <sz val="12"/>
        <color rgb="FFFF0000"/>
        <rFont val="Aptos Narrow (Corpo)"/>
      </rPr>
      <t>MacIver et al., 2013</t>
    </r>
    <r>
      <rPr>
        <sz val="12"/>
        <color theme="1"/>
        <rFont val="Aptos Narrow"/>
        <family val="2"/>
        <scheme val="minor"/>
      </rPr>
      <t xml:space="preserve">).
</t>
    </r>
    <r>
      <rPr>
        <sz val="12"/>
        <color rgb="FFFF0000"/>
        <rFont val="Aptos Narrow (Corpo)"/>
      </rPr>
      <t>Alwarawrah et al., 2025</t>
    </r>
  </si>
  <si>
    <r>
      <t xml:space="preserve">Hypothalamus, cortex, amygdala
</t>
    </r>
    <r>
      <rPr>
        <b/>
        <sz val="12"/>
        <color rgb="FFFF0000"/>
        <rFont val="Aptos Narrow (Corpo)"/>
      </rPr>
      <t>Hao et al., 2014</t>
    </r>
  </si>
  <si>
    <r>
      <t>Interleukin-6 (IL-6), initially designated as a B cell differentiation factor [</t>
    </r>
    <r>
      <rPr>
        <sz val="12"/>
        <color rgb="FFFF0000"/>
        <rFont val="Aptos Narrow (Corpo)"/>
      </rPr>
      <t>Hirano et al., 1986</t>
    </r>
    <r>
      <rPr>
        <sz val="12"/>
        <color theme="1"/>
        <rFont val="Aptos Narrow"/>
        <scheme val="minor"/>
      </rPr>
      <t>], is a representative cytokine featuring redundancy and pleiotropic activity [</t>
    </r>
    <r>
      <rPr>
        <sz val="12"/>
        <color rgb="FFFF0000"/>
        <rFont val="Aptos Narrow (Corpo)"/>
      </rPr>
      <t>Kishimoto et al., 2005, Kishimoto et al., 2010</t>
    </r>
    <r>
      <rPr>
        <sz val="12"/>
        <color theme="1"/>
        <rFont val="Aptos Narrow"/>
        <scheme val="minor"/>
      </rPr>
      <t>]. IL-6 is not a factor only involved in the immune response, but plays many critical roles in major physiological systems including the nervous system [</t>
    </r>
    <r>
      <rPr>
        <sz val="12"/>
        <color rgb="FFFF0000"/>
        <rFont val="Aptos Narrow (Corpo)"/>
      </rPr>
      <t>Erta et al., 2010</t>
    </r>
    <r>
      <rPr>
        <sz val="12"/>
        <color theme="1"/>
        <rFont val="Aptos Narrow"/>
        <scheme val="minor"/>
      </rPr>
      <t>]. It has been found that IL-6, as well as its receptor, is constitutively produced in the central neural system (CNS) itself [</t>
    </r>
    <r>
      <rPr>
        <sz val="12"/>
        <color rgb="FFFF0000"/>
        <rFont val="Aptos Narrow (Corpo)"/>
      </rPr>
      <t>Vallières et al., 1997</t>
    </r>
    <r>
      <rPr>
        <sz val="12"/>
        <color theme="1"/>
        <rFont val="Aptos Narrow"/>
        <scheme val="minor"/>
      </rPr>
      <t>]. The brain sites of IL-6 production or its receptor are in the hypothalamus, hippocampus, cerebellum, frontal cortex, and amygdala [</t>
    </r>
    <r>
      <rPr>
        <sz val="12"/>
        <color rgb="FFFF0000"/>
        <rFont val="Aptos Narrow (Corpo)"/>
      </rPr>
      <t>Anisman et al., 2003</t>
    </r>
    <r>
      <rPr>
        <sz val="12"/>
        <color theme="1"/>
        <rFont val="Aptos Narrow"/>
        <scheme val="minor"/>
      </rPr>
      <t>]. Clinical studies revealed that IL-6 is up-regulated in a number of the mental disorders. For example, IL-6 has been reported to be elevated in the serum or plasma of depressed patients, both with comorbid inflammatory disease and in the otherwise medically healthy [</t>
    </r>
    <r>
      <rPr>
        <sz val="12"/>
        <color rgb="FFFF0000"/>
        <rFont val="Aptos Narrow (Corpo)"/>
      </rPr>
      <t>Rizzo et al., 2012</t>
    </r>
    <r>
      <rPr>
        <sz val="12"/>
        <color theme="1"/>
        <rFont val="Aptos Narrow"/>
        <scheme val="minor"/>
      </rPr>
      <t xml:space="preserve">].
</t>
    </r>
    <r>
      <rPr>
        <sz val="12"/>
        <color rgb="FFFF0000"/>
        <rFont val="Aptos Narrow (Corpo)"/>
      </rPr>
      <t>Hao et al., 2014</t>
    </r>
  </si>
  <si>
    <r>
      <t xml:space="preserve">Pro-inflammatory, activates microglia, induces apoptosis
</t>
    </r>
    <r>
      <rPr>
        <b/>
        <sz val="12"/>
        <color rgb="FFFF0000"/>
        <rFont val="Aptos Narrow (Corpo)"/>
      </rPr>
      <t>(Gryka-Marton et al., 2025).</t>
    </r>
  </si>
  <si>
    <r>
      <t xml:space="preserve">Tumor necrosis factor-alpha (TNF-α) is a proinflammatory cytokine from the TNF superfamily, critical in immune regulation and inflammatory responses </t>
    </r>
    <r>
      <rPr>
        <sz val="12"/>
        <color rgb="FFFF0000"/>
        <rFont val="Aptos Narrow (Corpo)"/>
      </rPr>
      <t>(Gryka-Marton et al., 2025)</t>
    </r>
    <r>
      <rPr>
        <sz val="12"/>
        <color theme="1"/>
        <rFont val="Aptos Narrow"/>
        <family val="2"/>
        <scheme val="minor"/>
      </rPr>
      <t xml:space="preserve">. Produced primarily by macrophages, T cells, and NK cells, TNF-α activates NF-κB and MAPK pathways, promoting cytokine production, leukocyte recruitment, and apoptosis </t>
    </r>
    <r>
      <rPr>
        <sz val="12"/>
        <color rgb="FFFF0000"/>
        <rFont val="Aptos Narrow (Corpo)"/>
      </rPr>
      <t>(Gryka-Marton et al., 2025)</t>
    </r>
    <r>
      <rPr>
        <sz val="12"/>
        <color theme="1"/>
        <rFont val="Aptos Narrow"/>
        <family val="2"/>
        <scheme val="minor"/>
      </rPr>
      <t xml:space="preserve">. TNF-α has been shown to act synergistically with IL-6, further exacerbating BBB permeability and allowing for the infiltration of autoreactive lymphocytes and monocytes into the CNS </t>
    </r>
    <r>
      <rPr>
        <sz val="12"/>
        <color rgb="FFFF0000"/>
        <rFont val="Aptos Narrow (Corpo)"/>
      </rPr>
      <t>[Barabási et al., 2023</t>
    </r>
    <r>
      <rPr>
        <sz val="12"/>
        <color theme="1"/>
        <rFont val="Aptos Narrow"/>
        <family val="2"/>
        <scheme val="minor"/>
      </rPr>
      <t>]. Both IL-6 and TNF-α disrupt tight junctions by modulating the expression of proteins such as occludin and claudin-5, leading to endothelial barrier breakdown [</t>
    </r>
    <r>
      <rPr>
        <sz val="12"/>
        <color rgb="FFFF0000"/>
        <rFont val="Aptos Narrow (Corpo)"/>
      </rPr>
      <t>Galea et al., 2021</t>
    </r>
    <r>
      <rPr>
        <sz val="12"/>
        <color theme="1"/>
        <rFont val="Aptos Narrow"/>
        <family val="2"/>
        <scheme val="minor"/>
      </rPr>
      <t xml:space="preserve">]. This cytokine interplay is particularly relevant in autoimmune neuroinflammatory disorders, where sustained activation of IL-6 and TNF-α perpetuates a cycle of chronic inflammation and BBB leakage, ultimately leading to neuronal damage and cognitive impairment </t>
    </r>
    <r>
      <rPr>
        <sz val="12"/>
        <color rgb="FFFF0000"/>
        <rFont val="Aptos Narrow (Corpo)"/>
      </rPr>
      <t>[Vezzani et al., 2015</t>
    </r>
    <r>
      <rPr>
        <sz val="12"/>
        <color theme="1"/>
        <rFont val="Aptos Narrow"/>
        <family val="2"/>
        <scheme val="minor"/>
      </rPr>
      <t>].</t>
    </r>
  </si>
  <si>
    <r>
      <t>The maximum concentrations of TNF-α receptors are found in several regions of the brain such as the hypothalamus, hippocampus, amygdala, and prefrontal cortex, which plays an important role in the regulation of emotion and is supposed to be involved in depression [</t>
    </r>
    <r>
      <rPr>
        <sz val="12"/>
        <color rgb="FFFF0000"/>
        <rFont val="Aptos Narrow (Corpo)"/>
      </rPr>
      <t>Khairova et al., 2009</t>
    </r>
    <r>
      <rPr>
        <sz val="12"/>
        <color theme="1"/>
        <rFont val="Aptos Narrow"/>
        <scheme val="minor"/>
      </rPr>
      <t>]. Astrocytes and microglia cells of the CNS secrete TNF-α in reaction to inflammatory or infectious stimuli [</t>
    </r>
    <r>
      <rPr>
        <sz val="12"/>
        <color rgb="FFFF0000"/>
        <rFont val="Aptos Narrow (Corpo)"/>
      </rPr>
      <t>Kronfol et al., 2000</t>
    </r>
    <r>
      <rPr>
        <sz val="12"/>
        <color theme="1"/>
        <rFont val="Aptos Narrow"/>
        <scheme val="minor"/>
      </rPr>
      <t>]. Meanwhile, most brain neurons, in particular stimulatory conditions, also have the ability to release cytokines [</t>
    </r>
    <r>
      <rPr>
        <sz val="12"/>
        <color rgb="FFFF0000"/>
        <rFont val="Aptos Narrow (Corpo)"/>
      </rPr>
      <t>Tchelingerian et al., 1994</t>
    </r>
    <r>
      <rPr>
        <sz val="12"/>
        <color theme="1"/>
        <rFont val="Aptos Narrow"/>
        <scheme val="minor"/>
      </rPr>
      <t xml:space="preserve">].
</t>
    </r>
    <r>
      <rPr>
        <sz val="12"/>
        <color rgb="FFFF0000"/>
        <rFont val="Aptos Narrow (Corpo)"/>
      </rPr>
      <t>Ma et al., 2016</t>
    </r>
  </si>
  <si>
    <r>
      <t xml:space="preserve">TNF-α is a key mediator of BBB dysfunction, neuroinflammation, and reactive astrocytosis. Studies have demonstrated that TNF-α contributes to stress-induced BBB disruption and neuroinflammatory processes through multiple signaling pathways, including the EZH2-claudin-5 axis and TNF-STAT3 axis in reactive astrocytes </t>
    </r>
    <r>
      <rPr>
        <sz val="12"/>
        <color rgb="FFFF0000"/>
        <rFont val="Aptos Narrow (Corpo)"/>
      </rPr>
      <t>(Gryka-Marton et al., 2025)</t>
    </r>
    <r>
      <rPr>
        <sz val="12"/>
        <color theme="1"/>
        <rFont val="Aptos Narrow"/>
        <family val="2"/>
        <scheme val="minor"/>
      </rPr>
      <t>. Sun et al. (2024) identified that TNF-α promotes BBB permeability by epigenetically repressing claudin-5 expression via EZH2, facilitating peripheral TNF-α infiltration into the hippocampus and exacerbating neuroinflammation linked to depressive symptoms [</t>
    </r>
    <r>
      <rPr>
        <sz val="12"/>
        <color rgb="FFFF0000"/>
        <rFont val="Aptos Narrow (Corpo)"/>
      </rPr>
      <t>Sun et al., 2024</t>
    </r>
    <r>
      <rPr>
        <sz val="12"/>
        <color theme="1"/>
        <rFont val="Aptos Narrow"/>
        <family val="2"/>
        <scheme val="minor"/>
      </rPr>
      <t>]. The pharmacological inhibition of EZH2 or upregulation of claudin-5 restored BBB integrity and reduced TNF-α levels in the brain, mitigating depression-like behaviors (</t>
    </r>
    <r>
      <rPr>
        <sz val="12"/>
        <color rgb="FFFF0000"/>
        <rFont val="Aptos Narrow (Corpo)"/>
      </rPr>
      <t>Gryka-Marton et al., 2025</t>
    </r>
    <r>
      <rPr>
        <sz val="12"/>
        <color theme="1"/>
        <rFont val="Aptos Narrow"/>
        <family val="2"/>
        <scheme val="minor"/>
      </rPr>
      <t xml:space="preserve">).
Kim et al.described a TNF-STAT3 signaling axis in reactive astrocytes as a driver of BBB dysfunction  </t>
    </r>
    <r>
      <rPr>
        <sz val="12"/>
        <color rgb="FFFF0000"/>
        <rFont val="Aptos Narrow (Corpo)"/>
      </rPr>
      <t xml:space="preserve">[Kim et al., 2022] </t>
    </r>
    <r>
      <rPr>
        <sz val="12"/>
        <color theme="1"/>
        <rFont val="Aptos Narrow"/>
        <family val="2"/>
        <scheme val="minor"/>
      </rPr>
      <t xml:space="preserve">. Using a human-induced pluripotent stem-cell-derived BBB co-culture model, the study showed that TNF-α induces astrocyte transition to an inflammatory state, disrupting the BBB through STAT3 activation and the upregulation of SERPINA3 (α1ACT). This process exacerbates neurovascular inflammation and promotes immune cell infiltration into the CNS. Inhibition of Serpina3n in murine brain cultures reduced TNF-induced BBB disruption, confirming its role in TNF-α-mediated neuroinflammation. Further, intracerebroventricular (ICV) administration of Serpina3n in mice directly induced BBB dysfunction, increased VCAM-1 expression, and decreased claudin-5 levels, reinforcing its significance in neurovascular pathology </t>
    </r>
    <r>
      <rPr>
        <sz val="12"/>
        <color rgb="FFFF0000"/>
        <rFont val="Aptos Narrow (Corpo)"/>
      </rPr>
      <t xml:space="preserve">(Gryka-Marton et al., 2025). </t>
    </r>
    <r>
      <rPr>
        <sz val="12"/>
        <color theme="1"/>
        <rFont val="Aptos Narrow"/>
        <family val="2"/>
        <scheme val="minor"/>
      </rPr>
      <t xml:space="preserve">Collectively, these studies illustrate the role of TNF-α in perpetuating BBB dysfunction and neuroinflammation through interconnected pathways, including EZH2-mediated claudin-5 repression and TNF-STAT3-α1ACT signaling in astrocytes </t>
    </r>
    <r>
      <rPr>
        <sz val="12"/>
        <color rgb="FFFF0000"/>
        <rFont val="Aptos Narrow (Corpo)"/>
      </rPr>
      <t>(Gryka-Marton et al., 2025)</t>
    </r>
    <r>
      <rPr>
        <sz val="12"/>
        <color theme="1"/>
        <rFont val="Aptos Narrow"/>
        <family val="2"/>
        <scheme val="minor"/>
      </rPr>
      <t xml:space="preserve">. Targeting TNF-α, EZH2, or SERPINA3/α1ACT may represent viable therapeutic strategies for neuroinflammatory disorders. Future research should focus on exploring the therapeutic potential of IL-6 and TNF-α blockades in neurodegenerative and autoimmune conditions characterized by chronic inflammation and BBB impairment </t>
    </r>
    <r>
      <rPr>
        <sz val="12"/>
        <color rgb="FFFF0000"/>
        <rFont val="Aptos Narrow (Corpo)"/>
      </rPr>
      <t>(Gryka-Marton et al., 2025)</t>
    </r>
    <r>
      <rPr>
        <sz val="12"/>
        <color theme="1"/>
        <rFont val="Aptos Narrow"/>
        <family val="2"/>
        <scheme val="minor"/>
      </rPr>
      <t xml:space="preserve">. Understanding the intricate cytokine network involved in BBB dysregulation is crucial for developing effective treatments aimed at preserving BBB integrity, reducing neuroinflammation, and improving clinical outcomes in disorders, such as Alzheimer’s disease, multiple sclerosis, and major depressive disorder. </t>
    </r>
    <r>
      <rPr>
        <sz val="12"/>
        <color rgb="FFFF0000"/>
        <rFont val="Aptos Narrow (Corpo)"/>
      </rPr>
      <t>Gryka-Marton et al., 2025
Gryka-Marton et al., 2025</t>
    </r>
  </si>
  <si>
    <t>Breaking the Barrier: The Role of Proinflammatory Cytokines in BBB Dysfunction
Gryka-Marton et al., 2025</t>
  </si>
  <si>
    <r>
      <t xml:space="preserve">Pro-inflammatory,
promotes Th17 responses, recruits neutrophils, amplifies microglial activation, enhances production of cytokines (TNF-α, IL-6, IL-1β)
</t>
    </r>
    <r>
      <rPr>
        <b/>
        <sz val="12"/>
        <color rgb="FFFF0000"/>
        <rFont val="Aptos Narrow (Corpo)"/>
      </rPr>
      <t>(Gryka-Marton et al., 2025)</t>
    </r>
  </si>
  <si>
    <r>
      <t>Another cytokine considered critical in causing BBB dysfunction and neuroinflammation is interleukin-17A (IL-17A) (</t>
    </r>
    <r>
      <rPr>
        <sz val="12"/>
        <color rgb="FFFF0000"/>
        <rFont val="Aptos Narrow (Corpo)"/>
      </rPr>
      <t>Gryka-Marton et al., 2025).</t>
    </r>
    <r>
      <rPr>
        <sz val="12"/>
        <color theme="1"/>
        <rFont val="Aptos Narrow"/>
        <family val="2"/>
        <scheme val="minor"/>
      </rPr>
      <t xml:space="preserve"> Elevated levels of interleukin-17 (IL-17) have been implicated in the disruption of the blood–brain barrier (BBB) across various neurological conditions (</t>
    </r>
    <r>
      <rPr>
        <sz val="12"/>
        <color rgb="FFFF0000"/>
        <rFont val="Aptos Narrow (Corpo)"/>
      </rPr>
      <t>Gryka-Marton et al., 2025</t>
    </r>
    <r>
      <rPr>
        <sz val="12"/>
        <color theme="1"/>
        <rFont val="Aptos Narrow"/>
        <family val="2"/>
        <scheme val="minor"/>
      </rPr>
      <t>). IL-17 contributes to BBB breakdown through multiple mechanisms, including endothelial cell contraction, neutrophil recruitment, and the disruption of tight junctions(</t>
    </r>
    <r>
      <rPr>
        <sz val="12"/>
        <color rgb="FFFF0000"/>
        <rFont val="Aptos Narrow (Corpo)"/>
      </rPr>
      <t>Gryka-Marton et al., 2025)</t>
    </r>
    <r>
      <rPr>
        <sz val="12"/>
        <color theme="1"/>
        <rFont val="Aptos Narrow"/>
        <family val="2"/>
        <scheme val="minor"/>
      </rPr>
      <t xml:space="preserve">. Studies have shown that IL-17 induces the production of reactive oxygen species (ROS) via NADPH oxidase and xanthine oxidase pathways, leading to oxidative stress that activates the endothelial contractile machinery, ultimately increasing BBB permeability </t>
    </r>
    <r>
      <rPr>
        <sz val="12"/>
        <color rgb="FFFF0000"/>
        <rFont val="Aptos Narrow (Corpo)"/>
      </rPr>
      <t>[Huppert et al., 2010</t>
    </r>
    <r>
      <rPr>
        <sz val="12"/>
        <color theme="1"/>
        <rFont val="Aptos Narrow"/>
        <family val="2"/>
        <scheme val="minor"/>
      </rPr>
      <t>]. Additionally, IL-17 promotes the expression of chemokines and adhesion molecules on endothelial cells, thereby facilitating the recruitment and infiltration of neutrophils into the central nervous system (CNS) [</t>
    </r>
    <r>
      <rPr>
        <sz val="12"/>
        <color rgb="FFFF0000"/>
        <rFont val="Aptos Narrow (Corpo)"/>
      </rPr>
      <t>Takata et al., 2021</t>
    </r>
    <r>
      <rPr>
        <sz val="12"/>
        <color theme="1"/>
        <rFont val="Aptos Narrow"/>
        <family val="2"/>
        <scheme val="minor"/>
      </rPr>
      <t xml:space="preserve">]. This infiltration exacerbates neuroinflammation and further compromises BBB integrity </t>
    </r>
    <r>
      <rPr>
        <sz val="12"/>
        <color rgb="FFFF0000"/>
        <rFont val="Aptos Narrow (Corpo)"/>
      </rPr>
      <t>(Gryka-Marton et al., 2025).</t>
    </r>
  </si>
  <si>
    <r>
      <t>Chen et al.  demonstrated that nitroglycerin (NTG)-induced chronic migraine in a rat model was associated with increased BBB permeability, allowing IL-17A to cross into the medulla oblongata and activate the trigeminal nucleus caudalis (TNC) through microglia-mediated neuroinflammation [</t>
    </r>
    <r>
      <rPr>
        <sz val="12"/>
        <color rgb="FFFF0000"/>
        <rFont val="Aptos Narrow (Corpo)"/>
      </rPr>
      <t>Chen et al., 2022</t>
    </r>
    <r>
      <rPr>
        <sz val="12"/>
        <color theme="1"/>
        <rFont val="Aptos Narrow"/>
        <family val="2"/>
        <scheme val="minor"/>
      </rPr>
      <t>]. The findings revealed that NTG administration disrupted both functional and structural components of the BBB, altering the expression of key transport proteins, such as the receptor for advanced glycation end products (RAGE), low-density lipoprotein receptor-related protein 1 (LRP1), aquaporin-4 (AQP4), and major facilitator superfamily domain-containing protein 2A (MFSD2A), along with tight junction proteins like zonula occludens-1 (ZO-1), occludin, and VE-cadherin-2 [</t>
    </r>
    <r>
      <rPr>
        <sz val="12"/>
        <color rgb="FFFF0000"/>
        <rFont val="Aptos Narrow (Corpo)"/>
      </rPr>
      <t>Mayer et al., 2024</t>
    </r>
    <r>
      <rPr>
        <sz val="12"/>
        <color theme="1"/>
        <rFont val="Aptos Narrow"/>
        <family val="2"/>
        <scheme val="minor"/>
      </rPr>
      <t xml:space="preserve">]. This increase in BBB permeability facilitated the entry of IL-17A from the periphery into the CNS, triggering neuroinflammation and sensitizing the trigeminal system, a hallmark of migraine pathophysiology. Furthermore, their study demonstrated that IL-17A signaling promoted the release of additional inflammatory cytokines, such as tumor necrosis factor-alpha (TNF-α), interleukin-6 (IL-6), and interleukin-1β (IL-1β), which further exacerbated BBB dysfunction and neuroinflammatory cascades </t>
    </r>
    <r>
      <rPr>
        <sz val="12"/>
        <color rgb="FFFF0000"/>
        <rFont val="Aptos Narrow (Corpo)"/>
      </rPr>
      <t>[FENG et al., 2015</t>
    </r>
    <r>
      <rPr>
        <sz val="12"/>
        <color theme="1"/>
        <rFont val="Aptos Narrow"/>
        <family val="2"/>
        <scheme val="minor"/>
      </rPr>
      <t>]. Interestingly, the inhibition of neuroinflammation using ibuprofen effectively mitigated IL-17A-induced sensitization, suggesting that an IL-17A blockade may be a promising therapeutic target for migraine prevention [</t>
    </r>
    <r>
      <rPr>
        <sz val="12"/>
        <color rgb="FFFF0000"/>
        <rFont val="Aptos Narrow (Corpo)"/>
      </rPr>
      <t>Chen et al., 2022</t>
    </r>
    <r>
      <rPr>
        <sz val="12"/>
        <color theme="1"/>
        <rFont val="Aptos Narrow"/>
        <family val="2"/>
        <scheme val="minor"/>
      </rPr>
      <t xml:space="preserve">]. These findings highlight the intricate interplay between IL-17A, BBB integrity, and neuroinflammation in chronic migraines and suggest that targeting cytokine-mediated BBB disruption could offer novel therapeutic strategies for neuroimmune disorders beyond migraines, including multiple sclerosis and neuropsychiatric lupus erythematosus </t>
    </r>
    <r>
      <rPr>
        <sz val="12"/>
        <color rgb="FFFF0000"/>
        <rFont val="Aptos Narrow (Corpo)"/>
      </rPr>
      <t xml:space="preserve">(Gryka-Marton et al., 2025). </t>
    </r>
    <r>
      <rPr>
        <sz val="12"/>
        <color theme="1"/>
        <rFont val="Aptos Narrow"/>
        <family val="2"/>
        <scheme val="minor"/>
      </rPr>
      <t xml:space="preserve">
Elevated levels of interleukin-17 (IL-17) have been implicated in the disruption of the blood–brain barrier (BBB) across various neurological conditions</t>
    </r>
    <r>
      <rPr>
        <sz val="12"/>
        <color rgb="FFFF0000"/>
        <rFont val="Aptos Narrow (Corpo)"/>
      </rPr>
      <t>(Gryka-Marton et al., 2025</t>
    </r>
    <r>
      <rPr>
        <sz val="12"/>
        <color theme="1"/>
        <rFont val="Aptos Narrow"/>
        <family val="2"/>
        <scheme val="minor"/>
      </rPr>
      <t>). IL-17 contributes to BBB breakdown through multiple mechanisms, including endothelial cell contraction, neutrophil recruitment, and the disruption of tight junctions</t>
    </r>
    <r>
      <rPr>
        <sz val="12"/>
        <color rgb="FFFF0000"/>
        <rFont val="Aptos Narrow (Corpo)"/>
      </rPr>
      <t>(Gryka-Marton et al., 2025).</t>
    </r>
  </si>
  <si>
    <r>
      <rPr>
        <sz val="12"/>
        <color theme="1"/>
        <rFont val="Aptos Narrow"/>
        <scheme val="minor"/>
      </rPr>
      <t xml:space="preserve"> We observed that different IL-17R subunits are expressed in distinct yet partially overlapping patterns throughout the brain: IL-17RA is strongly expressed in deeper layers of the cortex, hippocampus, and amygdala, confirming previous in situ hybridization and immunohistochemistry results </t>
    </r>
    <r>
      <rPr>
        <sz val="12"/>
        <color rgb="FFFF0000"/>
        <rFont val="Aptos Narrow"/>
        <scheme val="minor"/>
      </rPr>
      <t xml:space="preserve">(Reed et al., 2020;  </t>
    </r>
    <r>
      <rPr>
        <sz val="12"/>
        <color rgb="FFFF0000"/>
        <rFont val="Aptos Narrow (Corpo)"/>
      </rPr>
      <t>Alves de Lima et al., 2020)</t>
    </r>
    <r>
      <rPr>
        <sz val="12"/>
        <color theme="1"/>
        <rFont val="Aptos Narrow"/>
        <scheme val="minor"/>
      </rPr>
      <t>; IL-17RB is enriched in the cortex and thalamus; IL-17RC is expressed extensively in the striatum and thalamus but sparsely represented in the cortex; IL-17RD shows a widespread expression in the cortex, hippocampus, and hypothalamus; and IL-17RE is relatively sparse in the cortex but abundantly decorates the mediodorsal nucleus and submedial nucleus of the thalamus. These data indicate that different IL-17R subunits display spatially distinct expression patterns in the brain</t>
    </r>
    <r>
      <rPr>
        <sz val="12"/>
        <color rgb="FFFF0000"/>
        <rFont val="Aptos Narrow (Corpo)"/>
      </rPr>
      <t xml:space="preserve"> (Lee et al., 2025 ).
</t>
    </r>
    <r>
      <rPr>
        <b/>
        <sz val="12"/>
        <color theme="1"/>
        <rFont val="Aptos Narrow"/>
        <scheme val="minor"/>
      </rPr>
      <t xml:space="preserve">
</t>
    </r>
  </si>
  <si>
    <r>
      <t xml:space="preserve">Neuroprotection, neuroendocrine regulation
</t>
    </r>
    <r>
      <rPr>
        <b/>
        <sz val="12"/>
        <color rgb="FFFF0000"/>
        <rFont val="Aptos Narrow (Corpo)"/>
      </rPr>
      <t>Wu et al., 2023</t>
    </r>
  </si>
  <si>
    <r>
      <t>Il-4 induce microglial immunoregulatory differentiation; promote hippocampal neurogenesis by accelerating the proliferation of Arg1+ microglia; upregulate BDNF secretion</t>
    </r>
    <r>
      <rPr>
        <sz val="12"/>
        <color rgb="FFFF0000"/>
        <rFont val="Aptos Narrow (Corpo)"/>
      </rPr>
      <t xml:space="preserve"> [Orihuela et al., 2016, Harley et al., 2021, Derecki et al., 2010]</t>
    </r>
    <r>
      <rPr>
        <sz val="12"/>
        <color theme="1"/>
        <rFont val="Aptos Narrow"/>
        <family val="2"/>
        <scheme val="minor"/>
      </rPr>
      <t xml:space="preserve">
 Zhang et al. identified the Arg1+ microglial subtype located in the hippocampus, the proliferation, and maturation of which were driven by IL-4 signaling [</t>
    </r>
    <r>
      <rPr>
        <sz val="12"/>
        <color rgb="FFFF0000"/>
        <rFont val="Aptos Narrow (Corpo)"/>
      </rPr>
      <t>Zhang et al., 2021</t>
    </r>
    <r>
      <rPr>
        <sz val="12"/>
        <color theme="1"/>
        <rFont val="Aptos Narrow"/>
        <family val="2"/>
        <scheme val="minor"/>
      </rPr>
      <t>]. This Arg1+ microglia subtype is responsible for secreting additional BDNF which maintains microglial self-renewal, adult neurogenesis in the DG, and working memory under stress conditions [</t>
    </r>
    <r>
      <rPr>
        <sz val="12"/>
        <color rgb="FFFF0000"/>
        <rFont val="Aptos Narrow (Corpo)"/>
      </rPr>
      <t>Zhang et al., 2021, Harley, et al., 2021</t>
    </r>
    <r>
      <rPr>
        <sz val="12"/>
        <color theme="1"/>
        <rFont val="Aptos Narrow"/>
        <family val="2"/>
        <scheme val="minor"/>
      </rPr>
      <t>]. However, BDNF released from microglia was also reported to promote the transdifferentiation of astrocytes and microglia to release proinflammatory cytokines, causing aggravated neuroinflammation [</t>
    </r>
    <r>
      <rPr>
        <sz val="12"/>
        <color rgb="FFFF0000"/>
        <rFont val="Aptos Narrow (Corpo)"/>
      </rPr>
      <t>Ding et al., 2020</t>
    </r>
    <r>
      <rPr>
        <sz val="12"/>
        <color theme="1"/>
        <rFont val="Aptos Narrow"/>
        <family val="2"/>
        <scheme val="minor"/>
      </rPr>
      <t>]. In conclusion, the neuroprotective effects exerted by microglia under both physiological and pathological conditions should not be neglected</t>
    </r>
    <r>
      <rPr>
        <sz val="12"/>
        <color rgb="FFFF0000"/>
        <rFont val="Aptos Narrow (Corpo)"/>
      </rPr>
      <t xml:space="preserve"> (Wu et al., 2023)</t>
    </r>
    <r>
      <rPr>
        <sz val="12"/>
        <color theme="1"/>
        <rFont val="Aptos Narrow"/>
        <family val="2"/>
        <scheme val="minor"/>
      </rPr>
      <t>.</t>
    </r>
  </si>
  <si>
    <r>
      <t>Interleukin-4 (IL-4) is coded by the IL4 gene, a 160 kb region on the long arm of chromosome 5. IL-4 plays a role in the regulation of IgE synthesis, differentiation of naive T cells into the Th2 subtype, suppresses IL-2 production, and promotes the expression of anti-inflammatory cytokines such as TGF-β1. IL-4 is produced by CD4 T cells, basophils, eosinophils, mastocytes, NK cells, and innate lymphoid cells type 2, while production in CNS by microglia and neuronal cells [</t>
    </r>
    <r>
      <rPr>
        <sz val="12"/>
        <color rgb="FFFF0000"/>
        <rFont val="Aptos Narrow (Corpo)"/>
      </rPr>
      <t>Qurashi et al., 2021, Li et al., 2007 , Quarta et al, 2021</t>
    </r>
    <r>
      <rPr>
        <sz val="12"/>
        <color theme="1"/>
        <rFont val="Aptos Narrow"/>
        <family val="2"/>
        <scheme val="minor"/>
      </rPr>
      <t>]. Its effect on the brain is of particular importance for microglia specialization. Microglia exposed to IL-4 and IL-13 specialize to the M2 anti-inflammatory subtype in contrast to the pro-inflammatory M1 subtype induced by exposure to IFN-α, TNF-β, or lipopolysaccharide (LPS). IL-4-driven Arg1+ microglia in the hippocampus trigger brain-derived neurotrophic factor (BDNF)-driven neurogenesis in reaction to stress, resulting in improved resilience to stress-induced depression. In a murine model, mice were exposed to chronic mild stress, and subsequently, levels of IL-4 and other cytokines in their hippocampi were measured using an immunofluorescence assay. The results showed overexpression of IL-4 in the mice group with low-stress susceptibility [</t>
    </r>
    <r>
      <rPr>
        <sz val="12"/>
        <color rgb="FFFF0000"/>
        <rFont val="Aptos Narrow (Corpo)"/>
      </rPr>
      <t>Zhang et al., 2021, Wachholz et al., 2017</t>
    </r>
    <r>
      <rPr>
        <sz val="12"/>
        <color theme="1"/>
        <rFont val="Aptos Narrow"/>
        <family val="2"/>
        <scheme val="minor"/>
      </rPr>
      <t>]. IL-4 inhibits the serotonin transporter activity in a dose-dependent manner, hence increasing the amount of serotonin available, acting similarly to some of the currently used antidepressants. This is supported by the fact that the use of an anti-IL-4 antibody reversed the effect IL-4 had on serotonin transporter levels in an experiment using B lymphoblasts. In a later animal model, rodents treated with IFN-α showed more depressive behaviors in the forced swim test, tail suspension test, and active avoidance task when their IL-4 microglial reactivity was reduced [</t>
    </r>
    <r>
      <rPr>
        <sz val="12"/>
        <color rgb="FFFF0000"/>
        <rFont val="Aptos Narrow (Corpo)"/>
      </rPr>
      <t>Wachholz et al., 2017</t>
    </r>
    <r>
      <rPr>
        <sz val="12"/>
        <color theme="1"/>
        <rFont val="Aptos Narrow"/>
        <family val="2"/>
        <scheme val="minor"/>
      </rPr>
      <t>]. In agreement with these findings, IL-4−/− mice tested in the forced swim test and tail suspension test showed significant depression-like behaviors compared to wild-type rodents, which was not further increased by the application of IFN-α [</t>
    </r>
    <r>
      <rPr>
        <sz val="12"/>
        <color rgb="FFFF0000"/>
        <rFont val="Aptos Narrow (Corpo)"/>
      </rPr>
      <t>Wachholz et al., 2016</t>
    </r>
    <r>
      <rPr>
        <sz val="12"/>
        <color theme="1"/>
        <rFont val="Aptos Narrow"/>
        <family val="2"/>
        <scheme val="minor"/>
      </rPr>
      <t xml:space="preserve">].
</t>
    </r>
    <r>
      <rPr>
        <sz val="12"/>
        <color rgb="FFFF0000"/>
        <rFont val="Aptos Narrow (Corpo)"/>
      </rPr>
      <t>Harsanyi et al., 2022</t>
    </r>
  </si>
  <si>
    <r>
      <t xml:space="preserve">Induces eosinophilic inflammation in meninges
</t>
    </r>
    <r>
      <rPr>
        <b/>
        <sz val="12"/>
        <color rgb="FFFF0000"/>
        <rFont val="Aptos Narrow (Corpo)"/>
      </rPr>
      <t>Harsanyi et al., 2022</t>
    </r>
  </si>
  <si>
    <r>
      <t xml:space="preserve">Activates eosinophils, antiparasitic response
</t>
    </r>
    <r>
      <rPr>
        <b/>
        <sz val="12"/>
        <color rgb="FFFF0000"/>
        <rFont val="Aptos Narrow (Corpo)"/>
      </rPr>
      <t>Harsanyi et al., 2022</t>
    </r>
  </si>
  <si>
    <r>
      <t xml:space="preserve">Interleukin-5 (IL-5) is coded by a gene clustered with IL-3 and IL-4 on chromosome 5 </t>
    </r>
    <r>
      <rPr>
        <sz val="12"/>
        <color rgb="FFFF0000"/>
        <rFont val="Aptos Narrow (Corpo)"/>
      </rPr>
      <t>(Harsanyi et al., 2022)</t>
    </r>
    <r>
      <rPr>
        <sz val="12"/>
        <color theme="1"/>
        <rFont val="Aptos Narrow"/>
        <family val="2"/>
        <scheme val="minor"/>
      </rPr>
      <t>. It is involved in the activation, proliferation, and differentiation of eosinophils and is best known for its involvement in the pathophysiology of autoimmune disorders such as asthma and Graves’ disease [</t>
    </r>
    <r>
      <rPr>
        <sz val="12"/>
        <color rgb="FFFF0000"/>
        <rFont val="Aptos Narrow (Corpo)"/>
      </rPr>
      <t>Elomaa et al., 2012</t>
    </r>
    <r>
      <rPr>
        <sz val="12"/>
        <color theme="1"/>
        <rFont val="Aptos Narrow"/>
        <family val="2"/>
        <scheme val="minor"/>
      </rPr>
      <t xml:space="preserve">].  
</t>
    </r>
    <r>
      <rPr>
        <sz val="12"/>
        <color rgb="FFFF0000"/>
        <rFont val="Aptos Narrow (Corpo)"/>
      </rPr>
      <t>Harsanyi et al., 2022</t>
    </r>
  </si>
  <si>
    <r>
      <t xml:space="preserve"> IL-5 is produced by activated Th2 cells, microglia, mastocytes, and astrocytes; has mitogenic effects on microglia; and activates JAK2 and STAT5 pathways involved in cell proliferation, which can lead to depressive symptoms via glucocorticoid signaling. IL-5 is also involved in Ras-ERK pathways, the hyperactivity of which causes deficits in synaptic plasticity and hippocampal-related learning in mice </t>
    </r>
    <r>
      <rPr>
        <sz val="12"/>
        <color rgb="FFFF0000"/>
        <rFont val="Aptos Narrow (Corpo)"/>
      </rPr>
      <t>[Elomaa et al., 2012,Sawada et al., 1993</t>
    </r>
    <r>
      <rPr>
        <sz val="12"/>
        <color theme="1"/>
        <rFont val="Aptos Narrow"/>
        <family val="2"/>
        <scheme val="minor"/>
      </rPr>
      <t xml:space="preserve">]. Although the role of IL-5 in autoimmune and parasitic diseases is well described, little is known about its potential involvement in depressive disorder, and the findings have been inconsistent so far. Elomaa et al. described elevated IL-5 levels in 58 patients with MDD, though a later meta-analysis did find changes in levels of IL-5 to be inconclusive in depressed patients. Recent research on circulating cytokine levels in breast cancer patients even found IL-5 levels decreased in the depressed group </t>
    </r>
    <r>
      <rPr>
        <sz val="12"/>
        <color rgb="FFFF0000"/>
        <rFont val="Aptos Narrow (Corpo)"/>
      </rPr>
      <t>[Köhler et al., 2017,Ho et al., 2021</t>
    </r>
    <r>
      <rPr>
        <sz val="12"/>
        <color theme="1"/>
        <rFont val="Aptos Narrow"/>
        <family val="2"/>
        <scheme val="minor"/>
      </rPr>
      <t xml:space="preserve">].
</t>
    </r>
    <r>
      <rPr>
        <sz val="12"/>
        <color rgb="FFFF0000"/>
        <rFont val="Aptos Narrow (Corpo)"/>
      </rPr>
      <t>Harsanyi et al., 2022</t>
    </r>
  </si>
  <si>
    <r>
      <t xml:space="preserve">Neuroprotection, microglia inhibition, homeostasis
</t>
    </r>
    <r>
      <rPr>
        <b/>
        <sz val="12"/>
        <color rgb="FFFF0000"/>
        <rFont val="Aptos Narrow (Corpo)"/>
      </rPr>
      <t>kuo et al., 2025</t>
    </r>
  </si>
  <si>
    <r>
      <t xml:space="preserve">Anti-inflammatory, inhibits IL-1 and TNF, regulates Th2
</t>
    </r>
    <r>
      <rPr>
        <b/>
        <sz val="12"/>
        <color rgb="FFFF0000"/>
        <rFont val="Aptos Narrow (Corpo)"/>
      </rPr>
      <t>Schneider et al., 2004</t>
    </r>
  </si>
  <si>
    <r>
      <t xml:space="preserve">Interleukin-10 (IL-10) is an anti-inflammatory cytokine that is a potent down-regulator of cell-mediated immune and pro-inflammatory responses </t>
    </r>
    <r>
      <rPr>
        <sz val="12"/>
        <color rgb="FFFF0000"/>
        <rFont val="Aptos Narrow (Corpo)"/>
      </rPr>
      <t>[Petit-Bertron et al., 2003; Mosser etl., 2003].</t>
    </r>
    <r>
      <rPr>
        <sz val="12"/>
        <color theme="1"/>
        <rFont val="Aptos Narrow"/>
        <family val="2"/>
        <scheme val="minor"/>
      </rPr>
      <t xml:space="preserve"> IL-10 was originally identified as a soluble factor produced by murine, CD4+, Th2-type T-cell clones that could inhibit production of Th1 cytokines such as IL-2 and interferon-γ (IFN-γ) that are associated with cell-mediated immunity [</t>
    </r>
    <r>
      <rPr>
        <sz val="12"/>
        <color rgb="FFFF0000"/>
        <rFont val="Aptos Narrow (Corpo)"/>
      </rPr>
      <t>Schneider et al., 2004</t>
    </r>
    <r>
      <rPr>
        <sz val="12"/>
        <color theme="1"/>
        <rFont val="Aptos Narrow"/>
        <family val="2"/>
        <scheme val="minor"/>
      </rPr>
      <t>]. Several studies demonstrated that IL-10 inhibits the immune responsiveness of antigen-presenting cells such as monocytes, macrophages, and dendritic cells [</t>
    </r>
    <r>
      <rPr>
        <sz val="12"/>
        <color rgb="FFFF0000"/>
        <rFont val="Aptos Narrow (Corpo)"/>
      </rPr>
      <t>Mosser etl., 2003; Moore et al., 2001]</t>
    </r>
    <r>
      <rPr>
        <sz val="12"/>
        <color theme="1"/>
        <rFont val="Aptos Narrow"/>
        <family val="2"/>
        <scheme val="minor"/>
      </rPr>
      <t xml:space="preserve">. In particular, experimental studies demonstrated that IL-10 inhibited the production of pro-inflammatory cytokines, such as TNF-α, IL-1 and IL-6, by activated macrophage </t>
    </r>
    <r>
      <rPr>
        <sz val="12"/>
        <color rgb="FFFF0000"/>
        <rFont val="Aptos Narrow (Corpo)"/>
      </rPr>
      <t>[Schwacha et al., 2001</t>
    </r>
    <r>
      <rPr>
        <sz val="12"/>
        <color rgb="FFFF0000"/>
        <rFont val="Aptos Narrow"/>
        <family val="2"/>
        <scheme val="minor"/>
      </rPr>
      <t>]</t>
    </r>
    <r>
      <rPr>
        <sz val="12"/>
        <color theme="1"/>
        <rFont val="Aptos Narrow"/>
        <family val="2"/>
        <scheme val="minor"/>
      </rPr>
      <t xml:space="preserve">. Moreover, it has been demonstrated that IL-10 is an immune suppressant in animal models of trauma, hemorrhage, sepsis and thermal injury </t>
    </r>
    <r>
      <rPr>
        <sz val="12"/>
        <color rgb="FFFF0000"/>
        <rFont val="Aptos Narrow (Corpo)"/>
      </rPr>
      <t xml:space="preserve">[Schneider et al., 2004]. </t>
    </r>
    <r>
      <rPr>
        <sz val="12"/>
        <color theme="1"/>
        <rFont val="Aptos Narrow"/>
        <family val="2"/>
        <scheme val="minor"/>
      </rPr>
      <t xml:space="preserve">
</t>
    </r>
    <r>
      <rPr>
        <sz val="12"/>
        <color rgb="FFFF0000"/>
        <rFont val="Aptos Narrow (Corpo)"/>
      </rPr>
      <t>Schneider et al., 2004</t>
    </r>
  </si>
  <si>
    <r>
      <t>Interleukin-10 is coded by the IL10 gene located on chromosome 1 (1q31–32) and contains five exons. By acting on dendritic cells (DCs) and macrophages, IL-10 inhibits the development of TH1- and TH2-type responses, acting as an anti-inflammatory cytokine [</t>
    </r>
    <r>
      <rPr>
        <sz val="12"/>
        <color rgb="FFFF0000"/>
        <rFont val="Aptos Narrow (Corpo)"/>
      </rPr>
      <t>Saraiva et al., 2010,Yadav et al., 2021].</t>
    </r>
    <r>
      <rPr>
        <sz val="12"/>
        <color theme="1"/>
        <rFont val="Aptos Narrow"/>
        <family val="2"/>
        <scheme val="minor"/>
      </rPr>
      <t xml:space="preserve"> IL-10 knockout mice showed learned helplessness in animal depression models, a symptom that could be reverted by application of IL-10, whereas IL-10 administration led to increased motor activity in wild-type mice </t>
    </r>
    <r>
      <rPr>
        <sz val="12"/>
        <color rgb="FFFF0000"/>
        <rFont val="Aptos Narrow (Corpo)"/>
      </rPr>
      <t>(Harsanyi et al., 2022)</t>
    </r>
    <r>
      <rPr>
        <sz val="12"/>
        <color theme="1"/>
        <rFont val="Aptos Narrow"/>
        <family val="2"/>
        <scheme val="minor"/>
      </rPr>
      <t>. Decreased levels of IL-10 were described in humans with symptoms of depression, anxiety, and increased suicide risk in a population study, as well as in stroke patients who developed the depressive disorder. Yet the literature also yields studies that report increased IL-10 levels in MDD</t>
    </r>
    <r>
      <rPr>
        <sz val="12"/>
        <color rgb="FFFF0000"/>
        <rFont val="Aptos Narrow (Corpo)"/>
      </rPr>
      <t>(Harsanyi et al., 2022).</t>
    </r>
    <r>
      <rPr>
        <sz val="12"/>
        <color theme="1"/>
        <rFont val="Aptos Narrow"/>
        <family val="2"/>
        <scheme val="minor"/>
      </rPr>
      <t xml:space="preserve"> One suggested explanation for this discrepancy is that IL-10 levels increase initially in response to acute inflammation connected with depression as a part of the compensatory immune system </t>
    </r>
    <r>
      <rPr>
        <sz val="12"/>
        <color rgb="FFFF0000"/>
        <rFont val="Aptos Narrow (Corpo)"/>
      </rPr>
      <t>(Harsanyi et al., 2022).</t>
    </r>
    <r>
      <rPr>
        <sz val="12"/>
        <color theme="1"/>
        <rFont val="Aptos Narrow"/>
        <family val="2"/>
        <scheme val="minor"/>
      </rPr>
      <t xml:space="preserve"> However, if the inflammation is not successfully attenuated with a longer disease duration, the IL-10 levels eventually decrease [</t>
    </r>
    <r>
      <rPr>
        <sz val="12"/>
        <color rgb="FFFF0000"/>
        <rFont val="Aptos Narrow (Corpo)"/>
      </rPr>
      <t>Chi et al., 2021, Wiener et al., 2019, Al-Fadhel et al., 2019</t>
    </r>
    <r>
      <rPr>
        <sz val="12"/>
        <color theme="1"/>
        <rFont val="Aptos Narrow"/>
        <family val="2"/>
        <scheme val="minor"/>
      </rPr>
      <t>]. This theory is also supported by the fact that several types of antidepressants increase IL-10 levels [</t>
    </r>
    <r>
      <rPr>
        <sz val="12"/>
        <color rgb="FFFF0000"/>
        <rFont val="Aptos Narrow (Corpo)"/>
      </rPr>
      <t>Zhang et al., 2020]</t>
    </r>
    <r>
      <rPr>
        <sz val="12"/>
        <color theme="1"/>
        <rFont val="Aptos Narrow"/>
        <family val="2"/>
        <scheme val="minor"/>
      </rPr>
      <t xml:space="preserve">.    </t>
    </r>
    <r>
      <rPr>
        <sz val="12"/>
        <color rgb="FFFF0000"/>
        <rFont val="Aptos Narrow (Corpo)"/>
      </rPr>
      <t>Harsanyi et al., 2022</t>
    </r>
    <r>
      <rPr>
        <sz val="12"/>
        <color theme="1"/>
        <rFont val="Aptos Narrow"/>
        <family val="2"/>
        <scheme val="minor"/>
      </rPr>
      <t xml:space="preserve">
Interleukin 10 (IL-10), a potent anti-inflammatory cytokine, holds significant promise in resolving inflammation and maintaining immune homeostasis in both CNS (</t>
    </r>
    <r>
      <rPr>
        <sz val="12"/>
        <color rgb="FFFF0000"/>
        <rFont val="Aptos Narrow (Corpo)"/>
      </rPr>
      <t>Gao et al., 2020</t>
    </r>
    <r>
      <rPr>
        <sz val="12"/>
        <color theme="1"/>
        <rFont val="Aptos Narrow"/>
        <family val="2"/>
        <scheme val="minor"/>
      </rPr>
      <t>; Saraiva and O'Garra, 2010; Strle et al., 2001) and peripheral tissues (</t>
    </r>
    <r>
      <rPr>
        <sz val="12"/>
        <color rgb="FFFF0000"/>
        <rFont val="Aptos Narrow (Corpo)"/>
      </rPr>
      <t>Kuhn et al., 1993</t>
    </r>
    <r>
      <rPr>
        <sz val="12"/>
        <color theme="1"/>
        <rFont val="Aptos Narrow"/>
        <family val="2"/>
        <scheme val="minor"/>
      </rPr>
      <t>). The main source of endogenous IL-10 production is considered as microglia among brain cells (</t>
    </r>
    <r>
      <rPr>
        <sz val="12"/>
        <color rgb="FFFF0000"/>
        <rFont val="Aptos Narrow (Corpo)"/>
      </rPr>
      <t>Chu et al., 2015</t>
    </r>
    <r>
      <rPr>
        <sz val="12"/>
        <color theme="1"/>
        <rFont val="Aptos Narrow"/>
        <family val="2"/>
        <scheme val="minor"/>
      </rPr>
      <t>). However, whether regulation of microglia-derived IL-10 expression profile by other brain cells via a non-cell-autonomous manner is still unclear. In general, the activation of the intracellular signaling cascades and SP1 transcriptional factors by most pro-inflammatory mediators leads to a rapid increase in promoter activity and mRNA expression of IL-10 after the immune challenge (</t>
    </r>
    <r>
      <rPr>
        <sz val="12"/>
        <color rgb="FFFF0000"/>
        <rFont val="Aptos Narrow (Corpo)"/>
      </rPr>
      <t>Saraiva and O'Garra, 2010</t>
    </r>
    <r>
      <rPr>
        <sz val="12"/>
        <color theme="1"/>
        <rFont val="Aptos Narrow"/>
        <family val="2"/>
        <scheme val="minor"/>
      </rPr>
      <t>). In addition to intracellular signaling cascades, earlier-released TNF-α and PGE2 from LPS-treated microglia negatively regulate IL-10 induction via the EP2 receptor-mediating G-protein-independent arrestin signaling (</t>
    </r>
    <r>
      <rPr>
        <sz val="12"/>
        <color rgb="FFFF0000"/>
        <rFont val="Aptos Narrow (Corpo)"/>
      </rPr>
      <t>Chu et al., 2015</t>
    </r>
    <r>
      <rPr>
        <sz val="12"/>
        <color theme="1"/>
        <rFont val="Aptos Narrow"/>
        <family val="2"/>
        <scheme val="minor"/>
      </rPr>
      <t>). These results imply the complex intracellular and extracellular interactions among different immune factors that regulate endogenous IL-10 induction in the time frame of the neuroinflammatory process. On the other hand, endogenous IL-10 induction plays a crucial role in regulating microglial phagocytosis, repressing the expression and release of pro-inflammatory mediators, and suppressing antigen presentation (</t>
    </r>
    <r>
      <rPr>
        <sz val="12"/>
        <color rgb="FFFF0000"/>
        <rFont val="Aptos Narrow (Corpo)"/>
      </rPr>
      <t>; Sabat et al., 2010</t>
    </r>
    <r>
      <rPr>
        <sz val="12"/>
        <color theme="1"/>
        <rFont val="Aptos Narrow"/>
        <family val="2"/>
        <scheme val="minor"/>
      </rPr>
      <t>). However, the impacts of endogenous IL-10 on suppressing the expression of pro-inflammatory mediators during the neuroinflammatory process are still controversial due to its later-onset expression pattern. For instance, the induction of endogenous IL-10 by LPS significantly suppresses the production of IL-1β (</t>
    </r>
    <r>
      <rPr>
        <sz val="12"/>
        <color rgb="FFFF0000"/>
        <rFont val="Aptos Narrow (Corpo)"/>
      </rPr>
      <t>Gao et al., 2020</t>
    </r>
    <r>
      <rPr>
        <sz val="12"/>
        <color theme="1"/>
        <rFont val="Aptos Narrow"/>
        <family val="2"/>
        <scheme val="minor"/>
      </rPr>
      <t>) but does not affect early-releasing TNF-α (</t>
    </r>
    <r>
      <rPr>
        <sz val="12"/>
        <color rgb="FFFF0000"/>
        <rFont val="Aptos Narrow (Corpo)"/>
      </rPr>
      <t>Kuo et al., 2023</t>
    </r>
    <r>
      <rPr>
        <sz val="12"/>
        <color theme="1"/>
        <rFont val="Aptos Narrow"/>
        <family val="2"/>
        <scheme val="minor"/>
      </rPr>
      <t xml:space="preserve">) in vitro brain cell cultures </t>
    </r>
    <r>
      <rPr>
        <sz val="12"/>
        <color rgb="FFFF0000"/>
        <rFont val="Aptos Narrow (Corpo)"/>
      </rPr>
      <t>Kuo et al., 2025</t>
    </r>
    <r>
      <rPr>
        <sz val="12"/>
        <color theme="1"/>
        <rFont val="Aptos Narrow"/>
        <family val="2"/>
        <scheme val="minor"/>
      </rPr>
      <t>.</t>
    </r>
  </si>
  <si>
    <r>
      <t xml:space="preserve">Amplifies Th2 response, promotes IgE
</t>
    </r>
    <r>
      <rPr>
        <b/>
        <sz val="12"/>
        <color rgb="FFFF0000"/>
        <rFont val="Aptos Narrow (Corpo)"/>
      </rPr>
      <t>[Ogulur et al., 2025].</t>
    </r>
  </si>
  <si>
    <r>
      <t>IL-13 regulates IgE-producing B-cell proliferation, goblet cell hyperplasia, mucus hypersecretion and AHR and opens the epithelial tight junction (TJ) barrier [</t>
    </r>
    <r>
      <rPr>
        <sz val="12"/>
        <color rgb="FFFF0000"/>
        <rFont val="Aptos Narrow (Corpo)"/>
      </rPr>
      <t>Caminati et al., 2018]</t>
    </r>
    <r>
      <rPr>
        <sz val="12"/>
        <color theme="1"/>
        <rFont val="Aptos Narrow"/>
        <family val="2"/>
        <scheme val="minor"/>
      </rPr>
      <t xml:space="preserve">. IL-13 contribute to the generation of IgE and B-cell class switching, which in turn triggers the degranulation of mast cells and basophils and the subsequent release of proinflammatory mediators </t>
    </r>
    <r>
      <rPr>
        <sz val="12"/>
        <color rgb="FFFF0000"/>
        <rFont val="Aptos Narrow (Corpo)"/>
      </rPr>
      <t>[Ogulur et al., 2025].</t>
    </r>
  </si>
  <si>
    <r>
      <t xml:space="preserve">Favors cerebral allergic sensitization
</t>
    </r>
    <r>
      <rPr>
        <b/>
        <sz val="12"/>
        <color rgb="FFFF0000"/>
        <rFont val="Aptos Narrow (Corpo)"/>
      </rPr>
      <t>Harsanyi et al., 2022</t>
    </r>
  </si>
  <si>
    <r>
      <t xml:space="preserve">Induces Th2, inhibits inflammation, promotes B cells
</t>
    </r>
    <r>
      <rPr>
        <b/>
        <sz val="12"/>
        <color rgb="FFFF0000"/>
        <rFont val="Aptos Narrow (Corpo)"/>
      </rPr>
      <t>Harsanyi et al., 2022</t>
    </r>
  </si>
  <si>
    <r>
      <t xml:space="preserve">Pro-inflammatory, activates microglia, induces fever
</t>
    </r>
    <r>
      <rPr>
        <b/>
        <sz val="12"/>
        <color rgb="FFFF0000"/>
        <rFont val="Aptos Narrow (Corpo)"/>
      </rPr>
      <t xml:space="preserve"> [Zhang  et al., 2025]</t>
    </r>
  </si>
  <si>
    <r>
      <t>IL-13 expressed endogenously in activated microglia after thrombin injection in the degeneration of hippocampal neurons. A number of studies, including ours, confirm the in vivo and in vitro neurotoxicity of thrombin on human fetal (</t>
    </r>
    <r>
      <rPr>
        <sz val="12"/>
        <color rgb="FFFF0000"/>
        <rFont val="Aptos Narrow (Corpo)"/>
      </rPr>
      <t>Xue et al., 2006</t>
    </r>
    <r>
      <rPr>
        <sz val="12"/>
        <color theme="1"/>
        <rFont val="Aptos Narrow"/>
        <scheme val="minor"/>
      </rPr>
      <t xml:space="preserve">), dopaminergic </t>
    </r>
    <r>
      <rPr>
        <sz val="12"/>
        <color rgb="FFFF0000"/>
        <rFont val="Aptos Narrow (Corpo)"/>
      </rPr>
      <t>(Choi et al., 2005</t>
    </r>
    <r>
      <rPr>
        <sz val="12"/>
        <color theme="1"/>
        <rFont val="Aptos Narrow"/>
        <scheme val="minor"/>
      </rPr>
      <t>), cortical (</t>
    </r>
    <r>
      <rPr>
        <sz val="12"/>
        <color rgb="FFFF0000"/>
        <rFont val="Aptos Narrow (Corpo)"/>
      </rPr>
      <t>Lee et al., 2006</t>
    </r>
    <r>
      <rPr>
        <sz val="12"/>
        <color theme="1"/>
        <rFont val="Aptos Narrow"/>
        <scheme val="minor"/>
      </rPr>
      <t>), and hippocampal neurons (</t>
    </r>
    <r>
      <rPr>
        <sz val="12"/>
        <color rgb="FFFF0000"/>
        <rFont val="Aptos Narrow (Corpo)"/>
      </rPr>
      <t>Choi et al., 2005</t>
    </r>
    <r>
      <rPr>
        <sz val="12"/>
        <color theme="1"/>
        <rFont val="Aptos Narrow"/>
        <scheme val="minor"/>
      </rPr>
      <t xml:space="preserve">). 
</t>
    </r>
    <r>
      <rPr>
        <sz val="12"/>
        <color rgb="FFFF0000"/>
        <rFont val="Aptos Narrow (Corpo)"/>
      </rPr>
      <t>Park et al., 2009</t>
    </r>
  </si>
  <si>
    <r>
      <rPr>
        <sz val="12"/>
        <color theme="1"/>
        <rFont val="Aptos Narrow"/>
        <scheme val="minor"/>
      </rPr>
      <t xml:space="preserve">In the present study, we report that transnasal IL-4 delivery attenuates TBI-induced anxiety-like behavior patterns after TBI, as evidenced by a panel of established behavioral tests. Second, IL-4 improves longterm neuronal survival in several limbic structures after TBI. Third, IL4 promotes the structural integrity of limbic white matter tracts, including the hippocampus-amygdala tract. Fourth, IL-4 triggers the expression of Arg1 and PPARγ in Mi/Mϕ and shifts microglial responses to inflammation-resolving and neuroprotective phenotypes in the thalamus. </t>
    </r>
    <r>
      <rPr>
        <sz val="12"/>
        <color rgb="FFFF0000"/>
        <rFont val="Aptos Narrow (Corpo)"/>
      </rPr>
      <t>(Pu et al., 2023)</t>
    </r>
  </si>
  <si>
    <r>
      <t xml:space="preserve">↑ Prefrontal Cortex IL-5
</t>
    </r>
    <r>
      <rPr>
        <sz val="12"/>
        <color rgb="FFFF0000"/>
        <rFont val="Aptos Narrow (Corpo)"/>
      </rPr>
      <t>Giridharan et al., 2019</t>
    </r>
  </si>
  <si>
    <r>
      <t xml:space="preserve">↑ Prefrontal Cortex IL10
↑ Hippocampus IL-10
</t>
    </r>
    <r>
      <rPr>
        <sz val="12"/>
        <color rgb="FFFF0000"/>
        <rFont val="Aptos Narrow (Corpo)"/>
      </rPr>
      <t>Giridharan et al., 2019</t>
    </r>
  </si>
  <si>
    <r>
      <t xml:space="preserve">The IL-2/IL-2R system extends beyond immune cells, it is also spontaneously expressed in various neural cells across multiple brain regions within the CNS. Furthermore, both the CNS and peripheral sources of IL-2 can interact with neuronal IL-2Rs, influencing the growth </t>
    </r>
    <r>
      <rPr>
        <sz val="12"/>
        <color rgb="FFFF0000"/>
        <rFont val="Aptos Narrow (Corpo)"/>
      </rPr>
      <t>[Haugen et al., 1990],</t>
    </r>
    <r>
      <rPr>
        <sz val="12"/>
        <color theme="1"/>
        <rFont val="Aptos Narrow"/>
        <family val="2"/>
        <scheme val="minor"/>
      </rPr>
      <t xml:space="preserve"> survival </t>
    </r>
    <r>
      <rPr>
        <sz val="12"/>
        <color rgb="FFFF0000"/>
        <rFont val="Aptos Narrow (Corpo)"/>
      </rPr>
      <t>[Awatsuji et al., 1993]</t>
    </r>
    <r>
      <rPr>
        <sz val="12"/>
        <color theme="1"/>
        <rFont val="Aptos Narrow"/>
        <family val="2"/>
        <scheme val="minor"/>
      </rPr>
      <t xml:space="preserve">, neurotransmitter release </t>
    </r>
    <r>
      <rPr>
        <sz val="12"/>
        <color rgb="FFFF0000"/>
        <rFont val="Aptos Narrow (Corpo)"/>
      </rPr>
      <t>[Anisman et al., 1996],</t>
    </r>
    <r>
      <rPr>
        <sz val="12"/>
        <color theme="1"/>
        <rFont val="Aptos Narrow"/>
        <family val="2"/>
        <scheme val="minor"/>
      </rPr>
      <t xml:space="preserve"> and neuroelectric activity </t>
    </r>
    <r>
      <rPr>
        <sz val="12"/>
        <color rgb="FFFF0000"/>
        <rFont val="Aptos Narrow (Corpo)"/>
      </rPr>
      <t>[Bindoni et al., 1988]</t>
    </r>
    <r>
      <rPr>
        <sz val="12"/>
        <color theme="1"/>
        <rFont val="Aptos Narrow"/>
        <family val="2"/>
        <scheme val="minor"/>
      </rPr>
      <t xml:space="preserve"> of neural cells</t>
    </r>
    <r>
      <rPr>
        <sz val="12"/>
        <color rgb="FFFF0000"/>
        <rFont val="Aptos Narrow"/>
        <family val="2"/>
        <scheme val="minor"/>
      </rPr>
      <t xml:space="preserve"> [</t>
    </r>
    <r>
      <rPr>
        <sz val="12"/>
        <color rgb="FFFF0000"/>
        <rFont val="Aptos Narrow (Corpo)"/>
      </rPr>
      <t>Zhang  et al., 2025]</t>
    </r>
    <r>
      <rPr>
        <sz val="12"/>
        <color rgb="FFFF0000"/>
        <rFont val="Aptos Narrow"/>
        <family val="2"/>
        <scheme val="minor"/>
      </rPr>
      <t>.</t>
    </r>
  </si>
  <si>
    <r>
      <t xml:space="preserve">frontal cortex, septal nuclei, striatum, corpus callosum, hippocampus, thalamus, hypothalamus, olfactory bulb, and cerebellum
</t>
    </r>
    <r>
      <rPr>
        <b/>
        <sz val="12"/>
        <color rgb="FFFF0000"/>
        <rFont val="Aptos Narrow (Corpo)"/>
      </rPr>
      <t xml:space="preserve"> [Hanisch et al., 1995]</t>
    </r>
  </si>
  <si>
    <r>
      <t xml:space="preserve">Glial activation, cognitive changes
 </t>
    </r>
    <r>
      <rPr>
        <b/>
        <sz val="12"/>
        <color rgb="FFFF0000"/>
        <rFont val="Aptos Narrow (Corpo)"/>
      </rPr>
      <t>[Zhang  et al., 2025]</t>
    </r>
  </si>
  <si>
    <r>
      <t xml:space="preserve">Glial activation, cognitive changes
</t>
    </r>
    <r>
      <rPr>
        <b/>
        <sz val="12"/>
        <color rgb="FFFF0000"/>
        <rFont val="Aptos Narrow (Corpo)"/>
      </rPr>
      <t>Yang et al., 2025</t>
    </r>
  </si>
  <si>
    <r>
      <t xml:space="preserve">Pro-inflammatory, activates microglia
</t>
    </r>
    <r>
      <rPr>
        <b/>
        <sz val="12"/>
        <color rgb="FFFF0000"/>
        <rFont val="Aptos Narrow (Corpo)"/>
      </rPr>
      <t>Yang et al., 2025</t>
    </r>
  </si>
  <si>
    <r>
      <rPr>
        <b/>
        <sz val="12"/>
        <color theme="1"/>
        <rFont val="Aptos Narrow (Corpo)"/>
      </rPr>
      <t>cortex, striatum, and hippocampus</t>
    </r>
    <r>
      <rPr>
        <b/>
        <sz val="12"/>
        <color theme="5"/>
        <rFont val="Aptos Narrow (Corpo)"/>
      </rPr>
      <t xml:space="preserve">
</t>
    </r>
    <r>
      <rPr>
        <b/>
        <sz val="12"/>
        <color rgb="FFFF0000"/>
        <rFont val="Aptos Narrow (Corpo)"/>
      </rPr>
      <t>Yang et al., 2025</t>
    </r>
  </si>
  <si>
    <r>
      <t xml:space="preserve">Neurodegeneration, BBB disruption
</t>
    </r>
    <r>
      <rPr>
        <b/>
        <sz val="12"/>
        <color rgb="FFFF0000"/>
        <rFont val="Aptos Narrow (Corpo)"/>
      </rPr>
      <t>Gryka-Marton et al., 2025</t>
    </r>
  </si>
  <si>
    <r>
      <t xml:space="preserve">Synaptic dysfunction, neurodegeneration, BBB disruption
</t>
    </r>
    <r>
      <rPr>
        <b/>
        <sz val="12"/>
        <color rgb="FFFF0000"/>
        <rFont val="Aptos Narrow (Corpo)"/>
      </rPr>
      <t>(Gryka-Marton et al., 2025)</t>
    </r>
  </si>
  <si>
    <r>
      <rPr>
        <b/>
        <sz val="12"/>
        <rFont val="Aptos Narrow"/>
        <scheme val="minor"/>
      </rPr>
      <t xml:space="preserve">Prefrontal cortex, hippocampus, </t>
    </r>
    <r>
      <rPr>
        <b/>
        <sz val="12"/>
        <rFont val="Aptos Narrow (Corpo)"/>
      </rPr>
      <t>hypothalamus</t>
    </r>
    <r>
      <rPr>
        <b/>
        <sz val="12"/>
        <color rgb="FFFF0000"/>
        <rFont val="Aptos Narrow (Corpo)"/>
      </rPr>
      <t xml:space="preserve">
Lee et al., 2025 </t>
    </r>
  </si>
  <si>
    <r>
      <rPr>
        <b/>
        <sz val="12"/>
        <color theme="1"/>
        <rFont val="Aptos Narrow (Corpo)"/>
      </rPr>
      <t>hippocampus, amygdala</t>
    </r>
    <r>
      <rPr>
        <b/>
        <sz val="12"/>
        <color rgb="FFFF0000"/>
        <rFont val="Aptos Narrow"/>
        <scheme val="minor"/>
      </rPr>
      <t xml:space="preserve">
Pu et al., 2023</t>
    </r>
  </si>
  <si>
    <r>
      <rPr>
        <b/>
        <sz val="12"/>
        <color theme="1"/>
        <rFont val="Aptos Narrow (Corpo)"/>
      </rPr>
      <t>Prefrontal Cortex</t>
    </r>
    <r>
      <rPr>
        <b/>
        <sz val="12"/>
        <color theme="1"/>
        <rFont val="Aptos Narrow"/>
        <scheme val="minor"/>
      </rPr>
      <t xml:space="preserve">
</t>
    </r>
    <r>
      <rPr>
        <b/>
        <sz val="12"/>
        <color rgb="FFFF0000"/>
        <rFont val="Aptos Narrow (Corpo)"/>
      </rPr>
      <t>Giridharan et al., 2019</t>
    </r>
    <r>
      <rPr>
        <b/>
        <sz val="12"/>
        <color theme="1"/>
        <rFont val="Aptos Narrow"/>
        <scheme val="minor"/>
      </rPr>
      <t xml:space="preserve">
</t>
    </r>
  </si>
  <si>
    <r>
      <rPr>
        <b/>
        <sz val="12"/>
        <color theme="1"/>
        <rFont val="Aptos Narrow (Corpo)"/>
      </rPr>
      <t>Prefrontal Cortex, Hippocampus</t>
    </r>
    <r>
      <rPr>
        <b/>
        <sz val="12"/>
        <color theme="1"/>
        <rFont val="Aptos Narrow"/>
        <scheme val="minor"/>
      </rPr>
      <t xml:space="preserve">
</t>
    </r>
    <r>
      <rPr>
        <b/>
        <sz val="12"/>
        <color rgb="FFFF0000"/>
        <rFont val="Aptos Narrow (Corpo)"/>
      </rPr>
      <t>Giridharan et al., 2019</t>
    </r>
  </si>
  <si>
    <r>
      <t xml:space="preserve">Cortex, hippocampus
</t>
    </r>
    <r>
      <rPr>
        <b/>
        <sz val="12"/>
        <color rgb="FFFF0000"/>
        <rFont val="Aptos Narrow (Corpo)"/>
      </rPr>
      <t>Park et al., 2009</t>
    </r>
  </si>
  <si>
    <r>
      <rPr>
        <b/>
        <sz val="12"/>
        <color theme="1"/>
        <rFont val="Aptos Narrow (Corpo)"/>
      </rPr>
      <t>prefrontal cortex (PFC), hippocampus</t>
    </r>
    <r>
      <rPr>
        <b/>
        <sz val="12"/>
        <color rgb="FFFF0000"/>
        <rFont val="Aptos Narrow"/>
        <scheme val="minor"/>
      </rPr>
      <t xml:space="preserve">
Monteiro et al., 2016
Filiano et al., 2016</t>
    </r>
  </si>
  <si>
    <r>
      <rPr>
        <b/>
        <sz val="12"/>
        <color theme="1"/>
        <rFont val="Aptos Narrow (Corpo)"/>
      </rPr>
      <t>Hippocampus, hypothalamus</t>
    </r>
    <r>
      <rPr>
        <b/>
        <sz val="12"/>
        <color theme="5"/>
        <rFont val="Aptos Narrow (Corpo)"/>
      </rPr>
      <t xml:space="preserve">
</t>
    </r>
    <r>
      <rPr>
        <b/>
        <sz val="12"/>
        <color rgb="FFFF0000"/>
        <rFont val="Aptos Narrow (Corpo)"/>
      </rPr>
      <t>Lisowska et al., 2025</t>
    </r>
    <r>
      <rPr>
        <b/>
        <sz val="12"/>
        <color theme="5"/>
        <rFont val="Aptos Narrow (Corpo)"/>
      </rPr>
      <t xml:space="preserve">
</t>
    </r>
  </si>
  <si>
    <t>IL-1β, a key pro-inflammatory cytokine generated via the proteolytic cleavage of pro-IL-1β, is central to both immune signaling and synaptic modulation. Under physiological conditions, IL-1β contributes to normal cognitive function and neural development by modulating synaptic plasticity, promoting memory consolidation, and regulating activity-dependent synaptic scaling (Yirmiya and Goshen, 2011). Activated microglia release IL-1β, which profoundly influences synaptic plasticity, including Hebbian plasticity and synaptic scaling (Stampanoni Bassi et al., 2020; Buffolo et al., 2021). Mechanistically, IL-1β modulates neuroplasticity through multiple pathways. It activates immune signaling cascades such as the NOD-like receptor thermal protein domain associated protein 3 (NLRP3) inflammasome (Yu et al., 2023), impairs excitatory synapses in sepsis-associated encephalopathy (SAE) models (Moraes et al., 2022), and alters LTP via synaptic hyperexcitability in MS (Stampanoni Bassi et al., 2020). IL-1β interferes with N-methyl-D-aspartate receptor (NMDAR)-mediated calcium signaling, selectively impairing NMDAR-dependent LTP (Rizzo et al., 2018; Hoshino et al., 2017), and enhances Ca2+ influx in dorsal root ganglion neurons, contributing to pain processing (Noh et al., 2019). Anakinra has been shown to restore NMDAR-dependent hippocampal plasticity and reduce seizure susceptibility in prion disease models (Bertani et al., 2017). IL-1β also influences synaptic scaling through RE1-silencing transcription factor (REST) activation, which delays synaptic downscaling at excitatory synapses (Buffolo et al., 2021). Additionally, IL-1β-mediated metabolic reprogramming of microglia impairs LTP, an effect reversible by glycolytic inhibition with 2-deoxyglucose (2DG) (York et al., 2021). It has been shown that these alterations impair synaptic energy metabolism and hippocampal LTP, thereby linking IL-1β-mediated mitochondrial dysfunction to cognitive decline (Batista et al., 2021). These findings suggest that IL-1β mediated bioenergetic imbalance represents a crucial pathogenic pathway in the progression of neurodegenerative diseases. At the structural level, IL-1β impairs dendritic spine formation, alters spine morphology, and induces synaptic loss. These effects involve suppression of mechanistic target of rapamycin (mTOR) signaling and downregulation of key synaptic proteins such as GluA1 and LIMK1 (Prieto et al., 2019; Tong et al., 2018), activation of MECP2 and nuclear factor κB (NF-κB) pathways (Tomasoni et al., 2017; Fan et al., 2018), and inhibition of axonal growth via p38-MAPK (Han et al., 2017). IL-1β also promotes synaptic displacement through microglial engulfment mechanisms (You et al., 2024) and reduces synaptic protein expression via the PI3K/Akt/mTOR axis (Sheppard et al., 2019; Xiao et al., 2017). It induces tau hyperphosphorylation, which disrupts synaptic integrity (Ising et al., 2019; Jiang et al., 2021), and differentially modulates excitatory and inhibitory neurotransmission (Patel et al., 2019; Yan et al., 2019; Sung et al., 2017). Moreover, IL-1β-driven dysfunction involves the miR-142-3p/GLAST axis, underscoring the regulatory role of microglia in synaptic remodeling (Mandolesi et al., 2017).  Inhibition of IL-1β alleviates cognitive deficits in neuroinflammatory models (Taoro-Gonzalez et al., 2019)
Yang et al., 2025</t>
  </si>
  <si>
    <r>
      <t>synaptic plasticity and memory</t>
    </r>
    <r>
      <rPr>
        <b/>
        <sz val="12"/>
        <color rgb="FFFFC000"/>
        <rFont val="Aptos Narrow (Corpo)"/>
      </rPr>
      <t xml:space="preserve">
</t>
    </r>
    <r>
      <rPr>
        <b/>
        <sz val="12"/>
        <color rgb="FFFF0000"/>
        <rFont val="Aptos Narrow (Corpo)"/>
      </rPr>
      <t>Yang et al., 2025</t>
    </r>
  </si>
  <si>
    <r>
      <t>hypothalamus, hippocampus, amygdala, and prefrontal cortex</t>
    </r>
    <r>
      <rPr>
        <b/>
        <sz val="12"/>
        <color rgb="FFFFC000"/>
        <rFont val="Aptos Narrow (Corpo)"/>
      </rPr>
      <t xml:space="preserve">
</t>
    </r>
    <r>
      <rPr>
        <b/>
        <sz val="12"/>
        <color rgb="FFFF0000"/>
        <rFont val="Aptos Narrow (Corpo)"/>
      </rPr>
      <t>Ma et al., 2016</t>
    </r>
  </si>
  <si>
    <t>Interleukin-13 (IL-13), first discovered in 1993, is a cytokine encoded by the IL13 gene at located 5q31.1 [Harsanyi et al., 2022]. It is closely associated with the IL4 gene (5q23-31), and the two gene products (IL-13 and IL-4) also share some functional characteristics [Minty etl al., 1993]. IL-13 is generally defined as an anti-inflammatory cytokine. For instance, it can mitigate the pro-inflammatory activation of microglia in the brain, providing neuroprotection during ischemic stroke. However, its effects can be pleiotropic, so under certain circumstances, IL-13 can contribute to or fail to suppress pro-inflammatory responses [Kolosowska et al., 2019,Khalil et al., 2020]. Corren reviewed that IL-13 plays a central role in various pathogenetic aspects of allergic conditions, such as allergic asthma, including the B lymphocyte switch to IgG production [Corren et al., 2013]. Thus, it is primarily associated with Th2-mediated immune functions [Iwaszko et al., 2021]. Discussing the role of IL-13 in psychiatric conditions, Pavón et al. found elevated IL-13 serum levels in MDD patients [Pavón et al., 2006].
 Harsanyi et al., 2022</t>
  </si>
  <si>
    <t>Result</t>
  </si>
  <si>
    <t>Studies: 32
Reviewer: 2
Kappa = 0.529
z = 3.39
p = 0.000689</t>
  </si>
  <si>
    <t>IL-1β
IL-6
IL-10
TNF-α</t>
  </si>
  <si>
    <t>ROBINS I: Serious</t>
  </si>
  <si>
    <t>NRSI</t>
  </si>
  <si>
    <t>AFTER/BEFORE</t>
  </si>
  <si>
    <t>HC (n=50)
MDD (n=50)</t>
  </si>
  <si>
    <t>IL-1β
IL-2
IL-6
IL-8
TNF-α
IFN-γ</t>
  </si>
  <si>
    <t>ROBINS I: Low</t>
  </si>
  <si>
    <t>HC (n=23)
MDD (n=23)</t>
  </si>
  <si>
    <t>IL-1β
IL-2
IL-4
IL-5
IL-6
IL-8
IL-10
IL-13
TNF-α</t>
  </si>
  <si>
    <t>HC (n=61)
MDD (n=59)</t>
  </si>
  <si>
    <t>IL-1β
IL-2
IL-4
IL-5
IL-6
IL-8
IL-10
IL-13
IFN-γ
TNF-α</t>
  </si>
  <si>
    <t>HC (n=60)
MDD (n=54)</t>
  </si>
  <si>
    <t>TNF-α
IL-5
IL-6
IL-8
IL-10
IL-13
IFN-γ
TNF-α</t>
  </si>
  <si>
    <t>HC (n=30)
MDD (n=57)</t>
  </si>
  <si>
    <t>IL-1β
IL-2
IL-4
IL-5
IL-6
IL-8
IL-10
TNF-α</t>
  </si>
  <si>
    <t>HC (n=90)
MDD (n=50)</t>
  </si>
  <si>
    <t>TNF-α
IL-6
IL-10</t>
  </si>
  <si>
    <t>RoB 2: Some concerns</t>
  </si>
  <si>
    <t>RCT</t>
  </si>
  <si>
    <t>IL-2
IL-4
IL-6
IL-8
IL-10
TNF-α
IFN-γ</t>
  </si>
  <si>
    <t>IL-1b
IL-4
IL-5
IL-6
IL-8
IL-10
IL-13
IFN-γ
TNF-α</t>
  </si>
  <si>
    <t>RoB 2: High</t>
  </si>
  <si>
    <t>MDD (n=102)</t>
  </si>
  <si>
    <t>IL-2
IL-4
IL-5
IL-10
IL-12
IL-13
IFN-γ
TNF-α</t>
  </si>
  <si>
    <t>ROBINS-I: Low</t>
  </si>
  <si>
    <t>IL-8
TNF-α</t>
  </si>
  <si>
    <t>ROBINS-I: Moderate</t>
  </si>
  <si>
    <t>HC (n=22)
MDD (n=66)</t>
  </si>
  <si>
    <t>IL-6
IL-10</t>
  </si>
  <si>
    <t>ROBINS-I:Moderate</t>
  </si>
  <si>
    <t>HC (n=19)
MDD (n=20)</t>
  </si>
  <si>
    <t>IL-1β
IL-2
IL-4
IL-10
IFN-γ
TNF-α</t>
  </si>
  <si>
    <t>HC (n=32)
MDD (n=30)</t>
  </si>
  <si>
    <t>Open-label trial</t>
  </si>
  <si>
    <t>HC (n=16)
MDD (n=16)</t>
  </si>
  <si>
    <t>IL-1β
IL-6</t>
  </si>
  <si>
    <t>HC (n=45)
MDD (n=28)</t>
  </si>
  <si>
    <t>TNF-α
IL-1β</t>
  </si>
  <si>
    <t>HC (n=17)
MDD (n=22)</t>
  </si>
  <si>
    <t>HC (n= 45)
MDD (n=100)</t>
  </si>
  <si>
    <t>IL-1β
IL-2
IL-4
IL-10
IL-13
IFN-γ</t>
  </si>
  <si>
    <t>HC (n= 22)
MDD (n= 31)</t>
  </si>
  <si>
    <t>IL-1β
IL-6
IFN-γ</t>
  </si>
  <si>
    <t>HC (n= 41)
MDD (n= 46)
MDD Recurrent
(n= 24)</t>
  </si>
  <si>
    <t>IFN-γ
IL-2
IL-4
IL-6
TNF-α</t>
  </si>
  <si>
    <t>HC (n= 63) 
MDD (n= 48)</t>
  </si>
  <si>
    <t>IL-4
IFN-γ</t>
  </si>
  <si>
    <t>HC (n=80)
MDD (n = 40)</t>
  </si>
  <si>
    <t>HC (n=17)
MDD (n=26)</t>
  </si>
  <si>
    <t>&lt;0.01</t>
  </si>
  <si>
    <t>IL-8
IL-6
TNF-α</t>
  </si>
  <si>
    <t>JBI: Low</t>
  </si>
  <si>
    <t>Analytical cross-sectional study</t>
  </si>
  <si>
    <t>HC (n=15)
MDD (n=28)</t>
  </si>
  <si>
    <t>Heterogeneity 
I² (%)</t>
  </si>
  <si>
    <t>P-value 
Egger’s test</t>
  </si>
  <si>
    <t>P-value</t>
  </si>
  <si>
    <t>95% CI 
(Upper)</t>
  </si>
  <si>
    <t>95% CI 
(Lower)</t>
  </si>
  <si>
    <t>SMD 
(Std. Mean Difference)</t>
  </si>
  <si>
    <t>Tool used: Overall ROB</t>
  </si>
  <si>
    <t>Design</t>
  </si>
  <si>
    <t>Group</t>
  </si>
  <si>
    <t>Sample sizen (n)</t>
  </si>
  <si>
    <t>IL-1B</t>
  </si>
  <si>
    <t>TNF-a</t>
  </si>
  <si>
    <t>IFN- γ</t>
  </si>
  <si>
    <t>Cytokine</t>
  </si>
  <si>
    <t>Paired comparison Before and After antidepressant treatment</t>
  </si>
  <si>
    <t>MDD/HC</t>
  </si>
  <si>
    <t>JBI: Moderate</t>
  </si>
  <si>
    <t>HC (n=87)
MDD (n=87)</t>
  </si>
  <si>
    <t>IL-6
TNF-α</t>
  </si>
  <si>
    <t>JBI:Low</t>
  </si>
  <si>
    <t>HC (n=80)
MDD (n=64)</t>
  </si>
  <si>
    <t>HC (n=33)
MDD (n=33)</t>
  </si>
  <si>
    <t>IL-2
IL-4
IL-13
IFN-γ</t>
  </si>
  <si>
    <t>Baseline comparison between patients with MDD and HC</t>
  </si>
  <si>
    <t>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</si>
</sst>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2"/>
      <color theme="1"/>
      <name val="Aptos Narrow"/>
      <family val="2"/>
      <scheme val="minor"/>
    </font>
    <font>
      <sz val="11"/>
      <color theme="1"/>
      <name val="Calibri"/>
      <family val="2"/>
    </font>
    <font>
      <b/>
      <sz val="11"/>
      <color theme="1"/>
      <name val="Calibri"/>
      <family val="2"/>
    </font>
    <font>
      <b/>
      <sz val="12"/>
      <color theme="1"/>
      <name val="Aptos Narrow"/>
      <family val="2"/>
      <scheme val="minor"/>
    </font>
    <font>
      <sz val="8"/>
      <name val="Aptos Narrow"/>
      <family val="2"/>
      <scheme val="minor"/>
    </font>
    <font>
      <sz val="12"/>
      <color theme="1"/>
      <name val="Aptos Narrow"/>
      <scheme val="minor"/>
    </font>
    <font>
      <b/>
      <sz val="11"/>
      <color theme="0"/>
      <name val="Calibri"/>
      <family val="2"/>
    </font>
    <font>
      <sz val="11"/>
      <color rgb="FF000000"/>
      <name val="Calibri"/>
      <family val="2"/>
    </font>
    <font>
      <sz val="11"/>
      <color theme="0"/>
      <name val="Calibri"/>
      <family val="2"/>
    </font>
    <font>
      <sz val="12"/>
      <color rgb="FF9C0006"/>
      <name val="Aptos Narrow"/>
      <family val="2"/>
      <scheme val="minor"/>
    </font>
    <font>
      <b/>
      <sz val="12"/>
      <color theme="0"/>
      <name val="Aptos Narrow"/>
      <family val="2"/>
      <scheme val="minor"/>
    </font>
    <font>
      <sz val="12"/>
      <color theme="1"/>
      <name val="Calibri"/>
      <family val="2"/>
    </font>
    <font>
      <b/>
      <sz val="12"/>
      <color theme="1"/>
      <name val="Aptos Narrow"/>
      <scheme val="minor"/>
    </font>
    <font>
      <u/>
      <sz val="12"/>
      <color theme="10"/>
      <name val="Aptos Narrow"/>
      <family val="2"/>
      <scheme val="minor"/>
    </font>
    <font>
      <b/>
      <sz val="12"/>
      <color theme="1"/>
      <name val="Calibri"/>
      <family val="2"/>
    </font>
    <font>
      <u/>
      <sz val="12"/>
      <color theme="10"/>
      <name val="Calibri"/>
      <family val="2"/>
    </font>
    <font>
      <sz val="12"/>
      <color rgb="FF000000"/>
      <name val="Calibri"/>
      <family val="2"/>
    </font>
    <font>
      <sz val="10"/>
      <color rgb="FF000000"/>
      <name val="Aptos Narrow"/>
      <family val="2"/>
      <scheme val="minor"/>
    </font>
    <font>
      <b/>
      <sz val="10"/>
      <color theme="1"/>
      <name val="Aptos Narrow"/>
      <family val="2"/>
      <scheme val="minor"/>
    </font>
    <font>
      <sz val="10"/>
      <color theme="1"/>
      <name val="Arial"/>
      <family val="2"/>
    </font>
    <font>
      <sz val="10"/>
      <color rgb="FF000000"/>
      <name val="Arial"/>
      <family val="2"/>
    </font>
    <font>
      <b/>
      <sz val="10"/>
      <color rgb="FF000000"/>
      <name val="Aptos Narrow"/>
      <family val="2"/>
      <scheme val="minor"/>
    </font>
    <font>
      <b/>
      <sz val="10"/>
      <color theme="1"/>
      <name val="Arial"/>
      <family val="2"/>
    </font>
    <font>
      <u/>
      <sz val="10"/>
      <color theme="10"/>
      <name val="Aptos Narrow"/>
      <family val="2"/>
      <scheme val="minor"/>
    </font>
    <font>
      <sz val="12"/>
      <color rgb="FFFF0000"/>
      <name val="Aptos Narrow"/>
      <family val="2"/>
      <scheme val="minor"/>
    </font>
    <font>
      <sz val="12"/>
      <name val="Calibri"/>
      <family val="2"/>
    </font>
    <font>
      <b/>
      <sz val="12"/>
      <color rgb="FF000000"/>
      <name val="Calibri"/>
      <family val="2"/>
    </font>
    <font>
      <b/>
      <sz val="10"/>
      <color rgb="FF000000"/>
      <name val="Aptos Narrow"/>
      <scheme val="minor"/>
    </font>
    <font>
      <sz val="12"/>
      <color rgb="FFFF0000"/>
      <name val="Calibri"/>
      <family val="2"/>
    </font>
    <font>
      <sz val="12"/>
      <color rgb="FFFF0000"/>
      <name val="Aptos Narrow (Corpo)"/>
    </font>
    <font>
      <b/>
      <sz val="12"/>
      <color rgb="FFFF0000"/>
      <name val="Aptos Narrow (Corpo)"/>
    </font>
    <font>
      <b/>
      <sz val="12"/>
      <color rgb="FFFF0000"/>
      <name val="Aptos Narrow"/>
      <scheme val="minor"/>
    </font>
    <font>
      <b/>
      <sz val="12"/>
      <color theme="5"/>
      <name val="Aptos Narrow (Corpo)"/>
    </font>
    <font>
      <b/>
      <sz val="12"/>
      <color rgb="FFFFC000"/>
      <name val="Aptos Narrow (Corpo)"/>
    </font>
    <font>
      <b/>
      <sz val="12"/>
      <name val="Aptos Narrow"/>
      <scheme val="minor"/>
    </font>
    <font>
      <b/>
      <sz val="12"/>
      <name val="Aptos Narrow (Corpo)"/>
    </font>
    <font>
      <sz val="12"/>
      <color rgb="FFFF0000"/>
      <name val="Aptos Narrow"/>
      <scheme val="minor"/>
    </font>
    <font>
      <b/>
      <sz val="12"/>
      <color theme="1"/>
      <name val="Aptos Narrow (Corpo)"/>
    </font>
    <font>
      <sz val="12"/>
      <color rgb="FF000000"/>
      <name val="AriaL"/>
      <family val="2"/>
    </font>
    <font>
      <sz val="12"/>
      <color rgb="FFFF0000"/>
      <name val="AriaL"/>
      <family val="2"/>
    </font>
    <font>
      <sz val="12"/>
      <color theme="1"/>
      <name val="AriaL"/>
      <family val="2"/>
    </font>
    <font>
      <b/>
      <sz val="12"/>
      <color rgb="FF000000"/>
      <name val="AriaL"/>
      <family val="2"/>
    </font>
    <font>
      <b/>
      <sz val="12"/>
      <color theme="1"/>
      <name val="AriaL"/>
      <family val="2"/>
    </font>
    <font>
      <sz val="12"/>
      <name val="Arial"/>
      <family val="2"/>
    </font>
    <font>
      <b/>
      <sz val="18"/>
      <color rgb="FFFF0000"/>
      <name val="AriaL"/>
      <family val="2"/>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rgb="FFFFC7CE"/>
      </patternFill>
    </fill>
    <fill>
      <patternFill patternType="solid">
        <fgColor rgb="FFFFFFFF"/>
        <bgColor rgb="FFFFFFFF"/>
      </patternFill>
    </fill>
    <fill>
      <patternFill patternType="solid">
        <fgColor rgb="FFFFFFFF"/>
        <bgColor rgb="FF000000"/>
      </patternFill>
    </fill>
    <fill>
      <patternFill patternType="solid">
        <fgColor rgb="FFFFFFFF"/>
        <bgColor indexed="64"/>
      </patternFill>
    </fill>
    <fill>
      <patternFill patternType="solid">
        <fgColor theme="2"/>
        <bgColor indexed="64"/>
      </patternFill>
    </fill>
  </fills>
  <borders count="20">
    <border>
      <left/>
      <right/>
      <top/>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9">
    <xf numFmtId="0" fontId="0" fillId="0" borderId="0"/>
    <xf numFmtId="0" fontId="9" fillId="6" borderId="0" applyNumberFormat="0" applyBorder="0" applyAlignment="0" applyProtection="0"/>
    <xf numFmtId="0" fontId="13"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23" fillId="0" borderId="0" applyNumberFormat="0" applyFill="0" applyBorder="0" applyAlignment="0" applyProtection="0"/>
  </cellStyleXfs>
  <cellXfs count="512">
    <xf numFmtId="0" fontId="0" fillId="0" borderId="0" xfId="0"/>
    <xf numFmtId="0" fontId="1" fillId="0" borderId="2" xfId="0" applyFont="1" applyBorder="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8" xfId="0" applyFont="1" applyBorder="1" applyAlignment="1">
      <alignment horizontal="center"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3" borderId="2" xfId="0" applyFont="1" applyFill="1" applyBorder="1" applyAlignment="1">
      <alignment horizontal="center" vertical="center" wrapText="1"/>
    </xf>
    <xf numFmtId="0" fontId="0" fillId="3" borderId="0" xfId="0" applyFill="1" applyAlignment="1">
      <alignment horizontal="center" vertical="center"/>
    </xf>
    <xf numFmtId="0" fontId="1" fillId="2" borderId="4" xfId="0" applyFont="1" applyFill="1" applyBorder="1" applyAlignment="1">
      <alignment horizontal="center" vertical="center" wrapText="1"/>
    </xf>
    <xf numFmtId="0" fontId="1" fillId="0" borderId="8"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center" vertical="center"/>
    </xf>
    <xf numFmtId="0" fontId="1" fillId="2" borderId="4" xfId="0" applyFont="1" applyFill="1" applyBorder="1" applyAlignment="1">
      <alignment horizontal="center" vertical="center"/>
    </xf>
    <xf numFmtId="3" fontId="1" fillId="3" borderId="0" xfId="0" applyNumberFormat="1" applyFont="1" applyFill="1" applyAlignment="1">
      <alignment horizontal="center" vertical="center" wrapText="1"/>
    </xf>
    <xf numFmtId="3" fontId="1" fillId="3" borderId="4" xfId="0" applyNumberFormat="1"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0" borderId="0" xfId="0" applyFont="1" applyAlignment="1">
      <alignment horizontal="center"/>
    </xf>
    <xf numFmtId="0" fontId="0" fillId="0" borderId="0" xfId="0" applyAlignment="1">
      <alignment horizontal="center"/>
    </xf>
    <xf numFmtId="3" fontId="1" fillId="2" borderId="4" xfId="0" applyNumberFormat="1" applyFont="1" applyFill="1" applyBorder="1" applyAlignment="1">
      <alignment horizontal="center" vertical="center" wrapText="1"/>
    </xf>
    <xf numFmtId="0" fontId="5" fillId="0" borderId="0" xfId="0" applyFont="1" applyAlignment="1">
      <alignment horizontal="center" vertical="center"/>
    </xf>
    <xf numFmtId="0" fontId="0" fillId="3" borderId="0" xfId="0" applyFill="1" applyAlignment="1">
      <alignment horizontal="center"/>
    </xf>
    <xf numFmtId="0" fontId="1" fillId="3" borderId="0" xfId="0" applyFont="1" applyFill="1" applyAlignment="1">
      <alignment horizontal="center" wrapText="1"/>
    </xf>
    <xf numFmtId="0" fontId="1" fillId="2" borderId="8"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4" borderId="0" xfId="0" applyFont="1" applyFill="1" applyAlignment="1">
      <alignment horizontal="center" vertical="center" wrapText="1"/>
    </xf>
    <xf numFmtId="0" fontId="7" fillId="0" borderId="0" xfId="0" applyFont="1" applyAlignment="1">
      <alignment horizontal="center" vertical="center" wrapText="1"/>
    </xf>
    <xf numFmtId="0" fontId="6" fillId="4" borderId="9" xfId="0" applyFont="1" applyFill="1" applyBorder="1" applyAlignment="1">
      <alignment horizontal="center" vertical="center" wrapText="1"/>
    </xf>
    <xf numFmtId="0" fontId="1" fillId="0" borderId="2" xfId="0" applyFont="1" applyBorder="1" applyAlignment="1">
      <alignment horizontal="center" vertical="center"/>
    </xf>
    <xf numFmtId="0" fontId="1" fillId="2" borderId="0" xfId="0" applyFont="1" applyFill="1" applyAlignment="1">
      <alignment horizontal="center" vertical="center"/>
    </xf>
    <xf numFmtId="0" fontId="1" fillId="0" borderId="1" xfId="0" applyFont="1" applyBorder="1" applyAlignment="1">
      <alignment horizontal="center" vertical="center"/>
    </xf>
    <xf numFmtId="0" fontId="1" fillId="0" borderId="0" xfId="0" applyFont="1" applyAlignment="1">
      <alignment vertical="center" wrapText="1"/>
    </xf>
    <xf numFmtId="0" fontId="0" fillId="0" borderId="0" xfId="0" applyAlignment="1">
      <alignment wrapText="1"/>
    </xf>
    <xf numFmtId="0" fontId="8" fillId="0" borderId="0" xfId="0" applyFont="1" applyAlignment="1">
      <alignment horizontal="center" vertical="center" wrapText="1"/>
    </xf>
    <xf numFmtId="0" fontId="1" fillId="2" borderId="0" xfId="0" applyFont="1" applyFill="1" applyAlignment="1">
      <alignment horizont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1" fillId="3" borderId="5"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applyAlignment="1">
      <alignment horizontal="center" vertical="center"/>
    </xf>
    <xf numFmtId="0" fontId="1" fillId="3" borderId="8"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0" xfId="0" applyAlignment="1">
      <alignment horizontal="left" wrapText="1"/>
    </xf>
    <xf numFmtId="0" fontId="1" fillId="0" borderId="0" xfId="0" applyFont="1" applyAlignment="1">
      <alignment horizontal="left" wrapText="1"/>
    </xf>
    <xf numFmtId="0" fontId="0" fillId="0" borderId="0" xfId="0" applyAlignment="1">
      <alignment horizontal="left"/>
    </xf>
    <xf numFmtId="0" fontId="1" fillId="2" borderId="0" xfId="0" applyFont="1" applyFill="1" applyAlignment="1">
      <alignment vertical="center" wrapText="1"/>
    </xf>
    <xf numFmtId="0" fontId="1" fillId="2" borderId="8" xfId="0" applyFont="1" applyFill="1" applyBorder="1" applyAlignment="1">
      <alignment vertical="center" wrapText="1"/>
    </xf>
    <xf numFmtId="0" fontId="2" fillId="5" borderId="0" xfId="0" applyFont="1" applyFill="1" applyAlignment="1">
      <alignment horizontal="center" vertical="center" wrapText="1"/>
    </xf>
    <xf numFmtId="0" fontId="3" fillId="5" borderId="0" xfId="0" applyFont="1" applyFill="1" applyAlignment="1">
      <alignment horizontal="center" vertical="center" wrapText="1"/>
    </xf>
    <xf numFmtId="0" fontId="0" fillId="3" borderId="0" xfId="0" applyFill="1"/>
    <xf numFmtId="0" fontId="0" fillId="3" borderId="0" xfId="0" applyFill="1" applyAlignment="1">
      <alignment wrapText="1"/>
    </xf>
    <xf numFmtId="0" fontId="1" fillId="2" borderId="4" xfId="0" applyFont="1" applyFill="1" applyBorder="1" applyAlignment="1">
      <alignment vertical="center" wrapText="1"/>
    </xf>
    <xf numFmtId="0" fontId="0" fillId="0" borderId="4"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1" fillId="3" borderId="3"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6" xfId="0" applyFont="1" applyFill="1" applyBorder="1" applyAlignment="1">
      <alignment horizontal="center" wrapText="1"/>
    </xf>
    <xf numFmtId="0" fontId="1" fillId="3" borderId="7" xfId="0" applyFont="1" applyFill="1" applyBorder="1" applyAlignment="1">
      <alignment horizontal="center" vertical="center" wrapText="1"/>
    </xf>
    <xf numFmtId="0" fontId="0" fillId="0" borderId="3"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2" borderId="6" xfId="0" applyFill="1" applyBorder="1" applyAlignment="1">
      <alignment horizontal="center"/>
    </xf>
    <xf numFmtId="0" fontId="0" fillId="2" borderId="0" xfId="0" applyFill="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4" xfId="0" applyBorder="1" applyAlignment="1">
      <alignment horizontal="left" vertical="center"/>
    </xf>
    <xf numFmtId="0" fontId="0" fillId="0" borderId="8" xfId="0" applyBorder="1" applyAlignment="1">
      <alignment horizontal="left" vertical="center"/>
    </xf>
    <xf numFmtId="0" fontId="0" fillId="0" borderId="4" xfId="0" applyBorder="1" applyAlignment="1">
      <alignment horizontal="left" vertical="center" wrapText="1"/>
    </xf>
    <xf numFmtId="0" fontId="0" fillId="0" borderId="8" xfId="0" applyBorder="1" applyAlignment="1">
      <alignment horizontal="left" vertical="center" wrapText="1"/>
    </xf>
    <xf numFmtId="0" fontId="1" fillId="3" borderId="6" xfId="0" applyFont="1" applyFill="1" applyBorder="1" applyAlignment="1">
      <alignment horizontal="center" vertical="center"/>
    </xf>
    <xf numFmtId="0" fontId="10" fillId="4" borderId="10" xfId="0" applyFont="1" applyFill="1" applyBorder="1" applyAlignment="1">
      <alignment horizontal="center" vertical="center"/>
    </xf>
    <xf numFmtId="0" fontId="6" fillId="4" borderId="12" xfId="0" applyFont="1" applyFill="1" applyBorder="1" applyAlignment="1">
      <alignment horizontal="center"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xf>
    <xf numFmtId="0" fontId="1" fillId="0" borderId="14" xfId="0" applyFont="1" applyBorder="1" applyAlignment="1">
      <alignment vertical="center"/>
    </xf>
    <xf numFmtId="0" fontId="9" fillId="6" borderId="10" xfId="1" applyBorder="1" applyAlignment="1">
      <alignment horizontal="center" vertical="center" wrapText="1"/>
    </xf>
    <xf numFmtId="0" fontId="9" fillId="6" borderId="11" xfId="1" applyBorder="1" applyAlignment="1">
      <alignment horizontal="center" vertical="center" wrapText="1"/>
    </xf>
    <xf numFmtId="0" fontId="0" fillId="0" borderId="4" xfId="0" applyBorder="1"/>
    <xf numFmtId="0" fontId="0" fillId="2" borderId="5" xfId="0" applyFill="1" applyBorder="1" applyAlignment="1">
      <alignment horizontal="center"/>
    </xf>
    <xf numFmtId="0" fontId="0" fillId="2" borderId="2" xfId="0" applyFill="1" applyBorder="1" applyAlignment="1">
      <alignment horizontal="center"/>
    </xf>
    <xf numFmtId="0" fontId="0" fillId="2" borderId="1" xfId="0" applyFill="1" applyBorder="1" applyAlignment="1">
      <alignment horizontal="center"/>
    </xf>
    <xf numFmtId="0" fontId="0" fillId="2" borderId="2" xfId="0" applyFill="1" applyBorder="1"/>
    <xf numFmtId="0" fontId="0" fillId="2" borderId="1" xfId="0" applyFill="1" applyBorder="1"/>
    <xf numFmtId="3" fontId="0" fillId="0" borderId="3" xfId="0" applyNumberFormat="1" applyBorder="1" applyAlignment="1">
      <alignment horizontal="center"/>
    </xf>
    <xf numFmtId="3" fontId="0" fillId="0" borderId="6" xfId="0" applyNumberFormat="1" applyBorder="1" applyAlignment="1">
      <alignment horizontal="center"/>
    </xf>
    <xf numFmtId="3" fontId="0" fillId="0" borderId="7" xfId="0" applyNumberFormat="1" applyBorder="1" applyAlignment="1">
      <alignment horizontal="center"/>
    </xf>
    <xf numFmtId="3" fontId="1" fillId="3" borderId="8" xfId="0" applyNumberFormat="1" applyFont="1" applyFill="1" applyBorder="1" applyAlignment="1">
      <alignment horizontal="center" vertical="center" wrapText="1"/>
    </xf>
    <xf numFmtId="0" fontId="1" fillId="0" borderId="2" xfId="0" applyFont="1" applyBorder="1" applyAlignment="1">
      <alignment vertical="center"/>
    </xf>
    <xf numFmtId="0" fontId="1" fillId="0" borderId="1" xfId="0" applyFont="1" applyBorder="1" applyAlignment="1">
      <alignment vertical="center"/>
    </xf>
    <xf numFmtId="3" fontId="1" fillId="3" borderId="3" xfId="0" applyNumberFormat="1" applyFont="1" applyFill="1" applyBorder="1" applyAlignment="1">
      <alignment horizontal="center" vertical="center" wrapText="1"/>
    </xf>
    <xf numFmtId="0" fontId="11" fillId="3" borderId="5" xfId="0" applyFont="1" applyFill="1" applyBorder="1" applyAlignment="1">
      <alignment horizontal="center" vertical="center" wrapText="1"/>
    </xf>
    <xf numFmtId="0" fontId="11" fillId="0" borderId="0" xfId="0" applyFont="1" applyAlignment="1">
      <alignment horizontal="center" vertical="center" wrapText="1"/>
    </xf>
    <xf numFmtId="0" fontId="11" fillId="3" borderId="6"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0" xfId="0" applyFont="1" applyFill="1" applyAlignment="1">
      <alignment horizontal="center" vertical="center" wrapText="1"/>
    </xf>
    <xf numFmtId="0" fontId="11" fillId="0" borderId="0" xfId="0" applyFont="1" applyAlignment="1">
      <alignment horizontal="left" vertical="center"/>
    </xf>
    <xf numFmtId="0" fontId="11" fillId="3" borderId="2" xfId="0" applyFont="1" applyFill="1" applyBorder="1" applyAlignment="1">
      <alignment horizontal="center" vertical="center"/>
    </xf>
    <xf numFmtId="0" fontId="11" fillId="0" borderId="0" xfId="0" applyFont="1" applyAlignment="1">
      <alignment horizontal="center"/>
    </xf>
    <xf numFmtId="0" fontId="11" fillId="3" borderId="5" xfId="0" applyFont="1" applyFill="1" applyBorder="1" applyAlignment="1">
      <alignment horizontal="center" vertical="center"/>
    </xf>
    <xf numFmtId="0" fontId="6" fillId="0" borderId="0" xfId="0" applyFont="1" applyAlignment="1">
      <alignment horizontal="center" vertical="center" wrapText="1"/>
    </xf>
    <xf numFmtId="0" fontId="17" fillId="0" borderId="0" xfId="3"/>
    <xf numFmtId="0" fontId="18" fillId="0" borderId="0" xfId="3" applyFont="1"/>
    <xf numFmtId="0" fontId="18" fillId="0" borderId="0" xfId="3" applyFont="1" applyAlignment="1">
      <alignment vertical="center"/>
    </xf>
    <xf numFmtId="0" fontId="17" fillId="0" borderId="0" xfId="5"/>
    <xf numFmtId="0" fontId="21" fillId="0" borderId="0" xfId="5" applyFont="1"/>
    <xf numFmtId="0" fontId="20" fillId="7" borderId="0" xfId="5" applyFont="1" applyFill="1" applyAlignment="1">
      <alignment horizontal="left"/>
    </xf>
    <xf numFmtId="0" fontId="20" fillId="7" borderId="0" xfId="5" applyFont="1" applyFill="1" applyAlignment="1">
      <alignment vertical="center" wrapText="1"/>
    </xf>
    <xf numFmtId="0" fontId="17" fillId="0" borderId="0" xfId="6"/>
    <xf numFmtId="0" fontId="17" fillId="0" borderId="0" xfId="7"/>
    <xf numFmtId="0" fontId="17" fillId="0" borderId="0" xfId="7" applyAlignment="1">
      <alignment vertical="center"/>
    </xf>
    <xf numFmtId="0" fontId="11" fillId="3" borderId="12"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6" fillId="0" borderId="0" xfId="7" applyFont="1" applyAlignment="1">
      <alignment vertical="center"/>
    </xf>
    <xf numFmtId="0" fontId="16" fillId="0" borderId="0" xfId="7" applyFont="1"/>
    <xf numFmtId="0" fontId="11" fillId="3" borderId="0" xfId="0" applyFont="1" applyFill="1" applyAlignment="1">
      <alignment horizontal="left" vertical="center" wrapText="1"/>
    </xf>
    <xf numFmtId="0" fontId="16" fillId="3" borderId="0" xfId="7" applyFont="1" applyFill="1" applyAlignment="1">
      <alignment horizontal="left" vertical="center"/>
    </xf>
    <xf numFmtId="0" fontId="16" fillId="3" borderId="6" xfId="7" applyFont="1" applyFill="1" applyBorder="1" applyAlignment="1">
      <alignment vertical="center"/>
    </xf>
    <xf numFmtId="0" fontId="16" fillId="3" borderId="0" xfId="7" applyFont="1" applyFill="1" applyAlignment="1">
      <alignment vertical="center" wrapText="1"/>
    </xf>
    <xf numFmtId="0" fontId="16" fillId="3" borderId="0" xfId="7" applyFont="1" applyFill="1"/>
    <xf numFmtId="0" fontId="16" fillId="3" borderId="0" xfId="7" applyFont="1" applyFill="1" applyAlignment="1">
      <alignment vertical="center"/>
    </xf>
    <xf numFmtId="0" fontId="16" fillId="3" borderId="2" xfId="7" applyFont="1" applyFill="1" applyBorder="1" applyAlignment="1">
      <alignment vertical="center"/>
    </xf>
    <xf numFmtId="0" fontId="15" fillId="3" borderId="6" xfId="8" applyFont="1" applyFill="1" applyBorder="1" applyAlignment="1">
      <alignment vertical="center"/>
    </xf>
    <xf numFmtId="0" fontId="16" fillId="3" borderId="0" xfId="0" applyFont="1" applyFill="1"/>
    <xf numFmtId="0" fontId="11" fillId="3" borderId="6" xfId="0" applyFont="1" applyFill="1" applyBorder="1" applyAlignment="1">
      <alignment horizontal="left" vertical="center"/>
    </xf>
    <xf numFmtId="0" fontId="16" fillId="3" borderId="6" xfId="7" applyFont="1" applyFill="1" applyBorder="1" applyAlignment="1">
      <alignment horizontal="left" vertical="center" wrapText="1"/>
    </xf>
    <xf numFmtId="0" fontId="16" fillId="3" borderId="6" xfId="7" applyFont="1" applyFill="1" applyBorder="1" applyAlignment="1">
      <alignment horizontal="left" vertical="center"/>
    </xf>
    <xf numFmtId="0" fontId="15" fillId="3" borderId="6" xfId="2" applyFont="1" applyFill="1" applyBorder="1" applyAlignment="1">
      <alignment horizontal="left" vertical="center"/>
    </xf>
    <xf numFmtId="0" fontId="16" fillId="3" borderId="7" xfId="7" applyFont="1" applyFill="1" applyBorder="1" applyAlignment="1">
      <alignment vertical="center"/>
    </xf>
    <xf numFmtId="0" fontId="16" fillId="3" borderId="8" xfId="7" applyFont="1" applyFill="1" applyBorder="1" applyAlignment="1">
      <alignment vertical="center"/>
    </xf>
    <xf numFmtId="0" fontId="16" fillId="3" borderId="8" xfId="7" applyFont="1" applyFill="1" applyBorder="1"/>
    <xf numFmtId="0" fontId="16" fillId="3" borderId="1" xfId="7" applyFont="1" applyFill="1" applyBorder="1" applyAlignment="1">
      <alignment vertical="center"/>
    </xf>
    <xf numFmtId="0" fontId="26" fillId="3" borderId="9" xfId="7" applyFont="1" applyFill="1" applyBorder="1" applyAlignment="1">
      <alignment vertical="center"/>
    </xf>
    <xf numFmtId="0" fontId="26" fillId="3" borderId="17" xfId="7" applyFont="1" applyFill="1" applyBorder="1" applyAlignment="1">
      <alignment horizontal="center" vertical="center"/>
    </xf>
    <xf numFmtId="0" fontId="26" fillId="3" borderId="18" xfId="7" applyFont="1" applyFill="1" applyBorder="1" applyAlignment="1">
      <alignment horizontal="center" vertical="center"/>
    </xf>
    <xf numFmtId="0" fontId="26" fillId="3" borderId="11" xfId="7" applyFont="1" applyFill="1" applyBorder="1" applyAlignment="1">
      <alignment horizontal="center" vertical="center"/>
    </xf>
    <xf numFmtId="0" fontId="11" fillId="0" borderId="6" xfId="3" applyFont="1" applyBorder="1" applyAlignment="1">
      <alignment vertical="center" wrapText="1"/>
    </xf>
    <xf numFmtId="0" fontId="11" fillId="0" borderId="7" xfId="3" applyFont="1" applyBorder="1" applyAlignment="1">
      <alignment vertical="center"/>
    </xf>
    <xf numFmtId="0" fontId="11" fillId="0" borderId="0" xfId="3" applyFont="1" applyAlignment="1">
      <alignment vertical="center" wrapText="1"/>
    </xf>
    <xf numFmtId="0" fontId="16" fillId="7" borderId="0" xfId="3" applyFont="1" applyFill="1" applyAlignment="1">
      <alignment vertical="center" wrapText="1"/>
    </xf>
    <xf numFmtId="0" fontId="16" fillId="7" borderId="8" xfId="3" applyFont="1" applyFill="1" applyBorder="1" applyAlignment="1">
      <alignment vertical="center" wrapText="1"/>
    </xf>
    <xf numFmtId="0" fontId="14" fillId="0" borderId="9" xfId="3" applyFont="1" applyBorder="1" applyAlignment="1">
      <alignment vertical="center" wrapText="1"/>
    </xf>
    <xf numFmtId="0" fontId="14" fillId="0" borderId="10" xfId="3" applyFont="1" applyBorder="1" applyAlignment="1">
      <alignment vertical="center" wrapText="1"/>
    </xf>
    <xf numFmtId="0" fontId="14" fillId="0" borderId="10" xfId="3" applyFont="1" applyBorder="1"/>
    <xf numFmtId="0" fontId="14" fillId="0" borderId="11" xfId="3" applyFont="1" applyBorder="1"/>
    <xf numFmtId="3" fontId="11" fillId="0" borderId="0" xfId="3" applyNumberFormat="1" applyFont="1" applyAlignment="1">
      <alignment vertical="center"/>
    </xf>
    <xf numFmtId="14" fontId="11" fillId="0" borderId="2" xfId="3" applyNumberFormat="1" applyFont="1" applyBorder="1" applyAlignment="1">
      <alignment vertical="center"/>
    </xf>
    <xf numFmtId="49" fontId="16" fillId="7" borderId="0" xfId="3" applyNumberFormat="1" applyFont="1" applyFill="1" applyAlignment="1">
      <alignment horizontal="right" vertical="center"/>
    </xf>
    <xf numFmtId="49" fontId="11" fillId="7" borderId="8" xfId="3" applyNumberFormat="1" applyFont="1" applyFill="1" applyBorder="1" applyAlignment="1">
      <alignment horizontal="right" vertical="center"/>
    </xf>
    <xf numFmtId="14" fontId="11" fillId="0" borderId="1" xfId="3" applyNumberFormat="1" applyFont="1" applyBorder="1" applyAlignment="1">
      <alignment vertical="center"/>
    </xf>
    <xf numFmtId="0" fontId="16" fillId="0" borderId="0" xfId="3" applyFont="1"/>
    <xf numFmtId="3" fontId="11" fillId="0" borderId="0" xfId="3" applyNumberFormat="1" applyFont="1"/>
    <xf numFmtId="0" fontId="26" fillId="0" borderId="15" xfId="7" applyFont="1" applyBorder="1" applyAlignment="1">
      <alignment horizontal="center" vertical="center"/>
    </xf>
    <xf numFmtId="0" fontId="26" fillId="0" borderId="0" xfId="7" applyFont="1" applyAlignment="1">
      <alignment vertical="center" wrapText="1"/>
    </xf>
    <xf numFmtId="0" fontId="16" fillId="0" borderId="15" xfId="7" applyFont="1" applyBorder="1"/>
    <xf numFmtId="0" fontId="22" fillId="0" borderId="9" xfId="5" applyFont="1" applyBorder="1" applyAlignment="1">
      <alignment vertical="center" wrapText="1"/>
    </xf>
    <xf numFmtId="0" fontId="22" fillId="0" borderId="11" xfId="5" applyFont="1" applyBorder="1" applyAlignment="1">
      <alignment vertical="center" wrapText="1"/>
    </xf>
    <xf numFmtId="0" fontId="19" fillId="0" borderId="6" xfId="5" applyFont="1" applyBorder="1" applyAlignment="1">
      <alignment vertical="center" wrapText="1"/>
    </xf>
    <xf numFmtId="0" fontId="19" fillId="0" borderId="2" xfId="5" applyFont="1" applyBorder="1"/>
    <xf numFmtId="0" fontId="19" fillId="0" borderId="6" xfId="5" applyFont="1" applyBorder="1"/>
    <xf numFmtId="0" fontId="19" fillId="0" borderId="2" xfId="5" applyFont="1" applyBorder="1" applyAlignment="1">
      <alignment vertical="center" wrapText="1"/>
    </xf>
    <xf numFmtId="0" fontId="19" fillId="0" borderId="2" xfId="5" applyFont="1" applyBorder="1" applyAlignment="1">
      <alignment wrapText="1"/>
    </xf>
    <xf numFmtId="0" fontId="19" fillId="0" borderId="7" xfId="5" applyFont="1" applyBorder="1"/>
    <xf numFmtId="0" fontId="19" fillId="0" borderId="1" xfId="5" applyFont="1" applyBorder="1"/>
    <xf numFmtId="0" fontId="17" fillId="0" borderId="6" xfId="6" applyBorder="1" applyAlignment="1">
      <alignment horizontal="left" vertical="center"/>
    </xf>
    <xf numFmtId="0" fontId="17" fillId="0" borderId="0" xfId="6" applyAlignment="1">
      <alignment horizontal="left" vertical="center" wrapText="1"/>
    </xf>
    <xf numFmtId="0" fontId="17" fillId="0" borderId="2" xfId="6" applyBorder="1" applyAlignment="1">
      <alignment horizontal="left" vertical="center" wrapText="1"/>
    </xf>
    <xf numFmtId="0" fontId="17" fillId="0" borderId="0" xfId="6" applyAlignment="1">
      <alignment horizontal="left" vertical="center"/>
    </xf>
    <xf numFmtId="0" fontId="17" fillId="0" borderId="2" xfId="6" applyBorder="1" applyAlignment="1">
      <alignment horizontal="left" vertical="center"/>
    </xf>
    <xf numFmtId="0" fontId="17" fillId="0" borderId="7" xfId="6" applyBorder="1" applyAlignment="1">
      <alignment horizontal="left" vertical="center"/>
    </xf>
    <xf numFmtId="0" fontId="17" fillId="0" borderId="8" xfId="6" applyBorder="1" applyAlignment="1">
      <alignment horizontal="left" vertical="center" wrapText="1"/>
    </xf>
    <xf numFmtId="0" fontId="17" fillId="0" borderId="1" xfId="6" applyBorder="1" applyAlignment="1">
      <alignment horizontal="left" vertical="center" wrapText="1"/>
    </xf>
    <xf numFmtId="0" fontId="21" fillId="0" borderId="9" xfId="6" applyFont="1" applyBorder="1"/>
    <xf numFmtId="0" fontId="21" fillId="0" borderId="10" xfId="6" applyFont="1" applyBorder="1"/>
    <xf numFmtId="0" fontId="21" fillId="0" borderId="11" xfId="6" applyFont="1" applyBorder="1"/>
    <xf numFmtId="0" fontId="17" fillId="3" borderId="0" xfId="6" applyFill="1" applyAlignment="1">
      <alignment horizontal="left" vertical="center" wrapText="1"/>
    </xf>
    <xf numFmtId="0" fontId="24" fillId="0" borderId="0" xfId="0" applyFont="1"/>
    <xf numFmtId="0" fontId="0" fillId="0" borderId="0" xfId="0" applyAlignment="1">
      <alignment horizontal="right"/>
    </xf>
    <xf numFmtId="0" fontId="5" fillId="0" borderId="0" xfId="0" applyFont="1" applyAlignment="1">
      <alignment horizontal="left" vertical="center"/>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3" xfId="0" applyFont="1" applyFill="1" applyBorder="1" applyAlignment="1">
      <alignment horizontal="center" vertical="center"/>
    </xf>
    <xf numFmtId="0" fontId="11" fillId="3" borderId="4" xfId="0" applyFont="1" applyFill="1" applyBorder="1" applyAlignment="1">
      <alignment horizontal="center"/>
    </xf>
    <xf numFmtId="0" fontId="14" fillId="3" borderId="4" xfId="0" applyFont="1" applyFill="1" applyBorder="1" applyAlignment="1">
      <alignment horizontal="center" vertical="center" wrapText="1"/>
    </xf>
    <xf numFmtId="0" fontId="16" fillId="3" borderId="0" xfId="0" applyFont="1" applyFill="1" applyAlignment="1">
      <alignment horizontal="center" vertical="center" wrapText="1"/>
    </xf>
    <xf numFmtId="0" fontId="11" fillId="3" borderId="6" xfId="0" applyFont="1" applyFill="1" applyBorder="1" applyAlignment="1">
      <alignment horizontal="center" vertical="center"/>
    </xf>
    <xf numFmtId="0" fontId="11" fillId="3" borderId="0" xfId="0" applyFont="1" applyFill="1" applyAlignment="1">
      <alignment horizontal="center"/>
    </xf>
    <xf numFmtId="0" fontId="11" fillId="3" borderId="2" xfId="0" applyFont="1" applyFill="1" applyBorder="1" applyAlignment="1">
      <alignment horizontal="left" vertical="center" wrapText="1"/>
    </xf>
    <xf numFmtId="0" fontId="11" fillId="3" borderId="7"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7"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8" xfId="0" applyFont="1" applyFill="1" applyBorder="1" applyAlignment="1">
      <alignment horizontal="center"/>
    </xf>
    <xf numFmtId="0" fontId="11" fillId="3" borderId="1" xfId="0" applyFont="1" applyFill="1" applyBorder="1" applyAlignment="1">
      <alignment horizontal="left" vertical="center" wrapText="1"/>
    </xf>
    <xf numFmtId="0" fontId="14" fillId="3" borderId="8" xfId="0" applyFont="1" applyFill="1" applyBorder="1" applyAlignment="1">
      <alignment horizontal="center" vertical="center" wrapText="1"/>
    </xf>
    <xf numFmtId="0" fontId="11" fillId="3" borderId="4" xfId="0" applyFont="1" applyFill="1" applyBorder="1" applyAlignment="1">
      <alignment horizontal="center" vertical="center"/>
    </xf>
    <xf numFmtId="0" fontId="11" fillId="3" borderId="10"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16" xfId="0" applyFont="1" applyFill="1" applyBorder="1" applyAlignment="1">
      <alignment horizontal="center" vertical="center" wrapText="1"/>
    </xf>
    <xf numFmtId="0" fontId="11" fillId="3" borderId="16" xfId="0" applyFont="1" applyFill="1" applyBorder="1" applyAlignment="1">
      <alignment horizontal="center" vertical="center"/>
    </xf>
    <xf numFmtId="0" fontId="14" fillId="3" borderId="10" xfId="0" applyFont="1" applyFill="1" applyBorder="1" applyAlignment="1">
      <alignment horizontal="center" vertical="center" wrapText="1"/>
    </xf>
    <xf numFmtId="0" fontId="11" fillId="3" borderId="11"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0" xfId="0" applyFont="1" applyFill="1" applyAlignment="1">
      <alignment horizontal="left" vertical="center"/>
    </xf>
    <xf numFmtId="0" fontId="11" fillId="3" borderId="0" xfId="0" applyFont="1" applyFill="1" applyAlignment="1">
      <alignment horizontal="center" vertical="center"/>
    </xf>
    <xf numFmtId="0" fontId="11" fillId="3" borderId="8" xfId="0" applyFont="1" applyFill="1" applyBorder="1" applyAlignment="1">
      <alignment horizontal="center" vertical="center"/>
    </xf>
    <xf numFmtId="0" fontId="11" fillId="3" borderId="8" xfId="0" applyFont="1" applyFill="1" applyBorder="1" applyAlignment="1">
      <alignment horizontal="left" vertical="center"/>
    </xf>
    <xf numFmtId="0" fontId="14" fillId="3" borderId="1" xfId="0" applyFont="1" applyFill="1" applyBorder="1" applyAlignment="1">
      <alignment horizontal="center" vertical="center" wrapText="1"/>
    </xf>
    <xf numFmtId="3" fontId="11" fillId="3" borderId="5" xfId="0" applyNumberFormat="1" applyFont="1" applyFill="1" applyBorder="1" applyAlignment="1">
      <alignment horizontal="center" vertical="center" wrapText="1"/>
    </xf>
    <xf numFmtId="0" fontId="11" fillId="3" borderId="4" xfId="0" applyFont="1" applyFill="1" applyBorder="1" applyAlignment="1">
      <alignment horizontal="left" vertical="center"/>
    </xf>
    <xf numFmtId="0" fontId="11" fillId="3" borderId="4" xfId="0" applyFont="1" applyFill="1" applyBorder="1" applyAlignment="1">
      <alignment vertical="center" wrapText="1"/>
    </xf>
    <xf numFmtId="0" fontId="11" fillId="3" borderId="0" xfId="0" applyFont="1" applyFill="1" applyAlignment="1">
      <alignment vertical="center" wrapText="1"/>
    </xf>
    <xf numFmtId="0" fontId="11" fillId="3" borderId="3" xfId="0" applyFont="1" applyFill="1" applyBorder="1" applyAlignment="1">
      <alignment horizontal="center"/>
    </xf>
    <xf numFmtId="0" fontId="11" fillId="3" borderId="5" xfId="0" applyFont="1" applyFill="1" applyBorder="1" applyAlignment="1">
      <alignment horizontal="center"/>
    </xf>
    <xf numFmtId="0" fontId="11" fillId="3" borderId="6" xfId="0" applyFont="1" applyFill="1" applyBorder="1" applyAlignment="1">
      <alignment horizontal="center"/>
    </xf>
    <xf numFmtId="0" fontId="11" fillId="3" borderId="2" xfId="0" applyFont="1" applyFill="1" applyBorder="1" applyAlignment="1">
      <alignment horizontal="center"/>
    </xf>
    <xf numFmtId="0" fontId="11" fillId="3" borderId="7" xfId="0" applyFont="1" applyFill="1" applyBorder="1" applyAlignment="1">
      <alignment horizontal="center"/>
    </xf>
    <xf numFmtId="0" fontId="11" fillId="3" borderId="1" xfId="0" applyFont="1" applyFill="1" applyBorder="1" applyAlignment="1">
      <alignment horizontal="center"/>
    </xf>
    <xf numFmtId="0" fontId="11" fillId="3" borderId="8" xfId="0" applyFont="1" applyFill="1" applyBorder="1" applyAlignment="1">
      <alignment vertical="center" wrapText="1"/>
    </xf>
    <xf numFmtId="0" fontId="11" fillId="3" borderId="9" xfId="0" applyFont="1" applyFill="1" applyBorder="1" applyAlignment="1">
      <alignment horizontal="center" vertical="center" wrapText="1"/>
    </xf>
    <xf numFmtId="0" fontId="11" fillId="3" borderId="10" xfId="0" applyFont="1" applyFill="1" applyBorder="1" applyAlignment="1">
      <alignment horizontal="center" vertical="center"/>
    </xf>
    <xf numFmtId="0" fontId="25" fillId="3" borderId="16" xfId="0" applyFont="1" applyFill="1" applyBorder="1" applyAlignment="1">
      <alignment horizontal="center" vertical="center" wrapText="1"/>
    </xf>
    <xf numFmtId="0" fontId="11" fillId="3" borderId="2" xfId="0" quotePrefix="1" applyFont="1" applyFill="1" applyBorder="1" applyAlignment="1">
      <alignment horizont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3" borderId="4" xfId="0" applyFill="1" applyBorder="1" applyAlignment="1">
      <alignment horizontal="center" vertical="center"/>
    </xf>
    <xf numFmtId="0" fontId="0" fillId="3" borderId="3"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2" xfId="0" applyFill="1" applyBorder="1" applyAlignment="1">
      <alignment horizontal="center" vertical="center"/>
    </xf>
    <xf numFmtId="0" fontId="0" fillId="3" borderId="8" xfId="0" applyFill="1" applyBorder="1" applyAlignment="1">
      <alignment horizontal="center" vertical="center"/>
    </xf>
    <xf numFmtId="0" fontId="0" fillId="3" borderId="1" xfId="0" applyFill="1" applyBorder="1" applyAlignment="1">
      <alignment horizontal="center" vertical="center"/>
    </xf>
    <xf numFmtId="0" fontId="0" fillId="3" borderId="4" xfId="0" applyFill="1" applyBorder="1" applyAlignment="1">
      <alignment horizontal="left" vertical="center"/>
    </xf>
    <xf numFmtId="0" fontId="0" fillId="3" borderId="8" xfId="0" applyFill="1" applyBorder="1" applyAlignment="1">
      <alignment horizontal="left" vertical="center"/>
    </xf>
    <xf numFmtId="0" fontId="0" fillId="3" borderId="0" xfId="0" applyFill="1" applyAlignment="1">
      <alignment horizontal="left" vertical="center"/>
    </xf>
    <xf numFmtId="0" fontId="0" fillId="3" borderId="7" xfId="0" applyFill="1" applyBorder="1" applyAlignment="1">
      <alignment horizontal="center" vertical="center"/>
    </xf>
    <xf numFmtId="0" fontId="0" fillId="3" borderId="4" xfId="0" applyFill="1" applyBorder="1" applyAlignment="1">
      <alignment horizontal="center"/>
    </xf>
    <xf numFmtId="0" fontId="0" fillId="3" borderId="8" xfId="0" applyFill="1" applyBorder="1" applyAlignment="1">
      <alignment horizont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4" xfId="0" applyFont="1" applyBorder="1" applyAlignment="1">
      <alignment horizontal="center"/>
    </xf>
    <xf numFmtId="0" fontId="11" fillId="0" borderId="5" xfId="0" applyFont="1" applyBorder="1" applyAlignment="1">
      <alignment horizontal="center" vertical="center" wrapText="1"/>
    </xf>
    <xf numFmtId="0" fontId="11" fillId="0" borderId="12" xfId="0" applyFont="1" applyBorder="1" applyAlignment="1">
      <alignment horizontal="center" vertical="center" wrapText="1"/>
    </xf>
    <xf numFmtId="0" fontId="14"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6" fillId="0" borderId="0" xfId="0" applyFont="1" applyAlignment="1">
      <alignment horizontal="center" vertical="center" wrapText="1"/>
    </xf>
    <xf numFmtId="0" fontId="11" fillId="0" borderId="2" xfId="0" applyFont="1" applyBorder="1" applyAlignment="1">
      <alignment horizontal="center" vertical="center" wrapText="1"/>
    </xf>
    <xf numFmtId="0" fontId="11" fillId="0" borderId="2" xfId="0" applyFont="1" applyBorder="1" applyAlignment="1">
      <alignment horizontal="left"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8" xfId="0" applyFont="1" applyBorder="1" applyAlignment="1">
      <alignment horizontal="center"/>
    </xf>
    <xf numFmtId="0" fontId="11" fillId="0" borderId="1"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 xfId="0" applyFont="1" applyBorder="1" applyAlignment="1">
      <alignment horizontal="left" vertical="center" wrapText="1"/>
    </xf>
    <xf numFmtId="0" fontId="14" fillId="0" borderId="8" xfId="0" applyFont="1" applyBorder="1" applyAlignment="1">
      <alignment horizontal="center" vertical="center" wrapText="1"/>
    </xf>
    <xf numFmtId="16" fontId="11" fillId="0" borderId="4" xfId="0" applyNumberFormat="1" applyFont="1" applyBorder="1" applyAlignment="1">
      <alignment horizontal="center" vertical="center" wrapText="1"/>
    </xf>
    <xf numFmtId="0" fontId="11" fillId="0" borderId="10" xfId="0" applyFont="1" applyBorder="1" applyAlignment="1">
      <alignment horizontal="center"/>
    </xf>
    <xf numFmtId="0" fontId="11" fillId="0" borderId="4" xfId="0" applyFont="1" applyBorder="1" applyAlignment="1">
      <alignment horizontal="left"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8" xfId="0" applyFont="1" applyBorder="1" applyAlignment="1">
      <alignment horizontal="left" vertical="center"/>
    </xf>
    <xf numFmtId="3" fontId="11" fillId="0" borderId="3" xfId="0" applyNumberFormat="1" applyFont="1" applyBorder="1" applyAlignment="1">
      <alignment horizontal="center" vertical="center" wrapText="1"/>
    </xf>
    <xf numFmtId="0" fontId="11" fillId="0" borderId="4" xfId="0" applyFont="1" applyBorder="1" applyAlignment="1">
      <alignment vertical="center" wrapText="1"/>
    </xf>
    <xf numFmtId="0" fontId="11" fillId="0" borderId="6" xfId="0" applyFont="1" applyBorder="1" applyAlignment="1">
      <alignment horizontal="center" vertical="center"/>
    </xf>
    <xf numFmtId="0" fontId="11" fillId="0" borderId="0" xfId="0" applyFont="1" applyAlignment="1">
      <alignment vertical="center" wrapText="1"/>
    </xf>
    <xf numFmtId="0" fontId="11" fillId="0" borderId="6" xfId="0" applyFont="1" applyBorder="1" applyAlignment="1">
      <alignment horizont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17" fontId="11" fillId="0" borderId="10" xfId="0" applyNumberFormat="1" applyFont="1" applyBorder="1" applyAlignment="1">
      <alignment horizontal="center" vertical="center" wrapText="1"/>
    </xf>
    <xf numFmtId="0" fontId="11" fillId="0" borderId="10" xfId="0" applyFont="1" applyBorder="1" applyAlignment="1">
      <alignment horizontal="center" vertical="center"/>
    </xf>
    <xf numFmtId="0" fontId="16" fillId="0" borderId="1" xfId="0" applyFont="1" applyBorder="1" applyAlignment="1">
      <alignment horizontal="center" vertical="center"/>
    </xf>
    <xf numFmtId="0" fontId="25" fillId="0" borderId="16" xfId="0" applyFont="1" applyBorder="1" applyAlignment="1">
      <alignment horizontal="center" vertical="center" wrapText="1"/>
    </xf>
    <xf numFmtId="0" fontId="11" fillId="0" borderId="10" xfId="0" applyFont="1" applyBorder="1" applyAlignment="1">
      <alignment horizontal="left" vertical="center"/>
    </xf>
    <xf numFmtId="0" fontId="14"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6" xfId="0" applyFont="1" applyBorder="1" applyAlignment="1">
      <alignment horizontal="center"/>
    </xf>
    <xf numFmtId="0" fontId="11" fillId="0" borderId="0" xfId="0" quotePrefix="1" applyFont="1" applyAlignment="1">
      <alignment horizontal="center"/>
    </xf>
    <xf numFmtId="0" fontId="11" fillId="0" borderId="7" xfId="0" applyFont="1" applyBorder="1" applyAlignment="1">
      <alignment horizont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3" fontId="11" fillId="3" borderId="4" xfId="0" applyNumberFormat="1" applyFont="1" applyFill="1" applyBorder="1" applyAlignment="1">
      <alignment horizontal="center" vertical="center" wrapText="1"/>
    </xf>
    <xf numFmtId="0" fontId="11" fillId="3" borderId="0" xfId="0" quotePrefix="1" applyFont="1" applyFill="1" applyAlignment="1">
      <alignment horizontal="center" vertical="center"/>
    </xf>
    <xf numFmtId="0" fontId="0" fillId="0" borderId="11" xfId="0" applyBorder="1" applyAlignment="1">
      <alignment horizontal="center" vertical="center"/>
    </xf>
    <xf numFmtId="0" fontId="0" fillId="0" borderId="6" xfId="0" applyBorder="1"/>
    <xf numFmtId="0" fontId="0" fillId="0" borderId="2" xfId="0" applyBorder="1"/>
    <xf numFmtId="0" fontId="25" fillId="0" borderId="11" xfId="0" applyFont="1" applyBorder="1" applyAlignment="1">
      <alignment horizontal="center" vertical="center" wrapText="1"/>
    </xf>
    <xf numFmtId="0" fontId="24" fillId="0" borderId="1" xfId="0" applyFont="1" applyBorder="1" applyAlignment="1">
      <alignment horizontal="center" vertical="center"/>
    </xf>
    <xf numFmtId="0" fontId="24" fillId="0" borderId="5" xfId="0" applyFont="1" applyBorder="1" applyAlignment="1">
      <alignment horizontal="center" vertical="center"/>
    </xf>
    <xf numFmtId="0" fontId="24" fillId="0" borderId="2" xfId="0" applyFont="1" applyBorder="1" applyAlignment="1">
      <alignment horizontal="center" vertical="center"/>
    </xf>
    <xf numFmtId="0" fontId="28" fillId="3" borderId="2" xfId="0" applyFont="1" applyFill="1" applyBorder="1" applyAlignment="1">
      <alignment horizontal="center" vertical="center" wrapText="1"/>
    </xf>
    <xf numFmtId="0" fontId="24" fillId="0" borderId="11" xfId="0" applyFont="1" applyBorder="1" applyAlignment="1">
      <alignment horizontal="center" vertical="center"/>
    </xf>
    <xf numFmtId="0" fontId="12" fillId="0" borderId="0" xfId="0" applyFont="1" applyAlignment="1">
      <alignment horizontal="center" vertical="center" wrapText="1"/>
    </xf>
    <xf numFmtId="0" fontId="0" fillId="0" borderId="0" xfId="0" applyAlignment="1">
      <alignment horizontal="center" vertical="center" wrapText="1"/>
    </xf>
    <xf numFmtId="0" fontId="12" fillId="0" borderId="0" xfId="0" applyFont="1" applyAlignment="1">
      <alignment vertical="center" wrapText="1"/>
    </xf>
    <xf numFmtId="0" fontId="0" fillId="0" borderId="0" xfId="0" applyAlignment="1">
      <alignment vertical="center" wrapText="1"/>
    </xf>
    <xf numFmtId="0" fontId="5" fillId="0" borderId="0" xfId="0" applyFont="1" applyAlignment="1">
      <alignment vertical="center" wrapText="1"/>
    </xf>
    <xf numFmtId="0" fontId="31" fillId="0" borderId="0" xfId="0" applyFont="1" applyAlignment="1">
      <alignment vertical="center" wrapText="1"/>
    </xf>
    <xf numFmtId="0" fontId="32" fillId="0" borderId="0" xfId="0" applyFont="1" applyAlignment="1">
      <alignment vertical="center" wrapText="1"/>
    </xf>
    <xf numFmtId="0" fontId="37" fillId="0" borderId="0" xfId="0" applyFont="1" applyAlignment="1">
      <alignment vertical="center" wrapText="1"/>
    </xf>
    <xf numFmtId="0" fontId="11"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8" xfId="0" applyFont="1" applyFill="1" applyBorder="1" applyAlignment="1">
      <alignment horizontal="center" vertical="center"/>
    </xf>
    <xf numFmtId="0" fontId="13" fillId="3" borderId="5" xfId="2" applyFill="1" applyBorder="1" applyAlignment="1">
      <alignment horizontal="center" vertical="center" wrapText="1"/>
    </xf>
    <xf numFmtId="0" fontId="0" fillId="3" borderId="1" xfId="0" applyFill="1" applyBorder="1" applyAlignment="1">
      <alignment horizontal="center" vertical="center" wrapText="1"/>
    </xf>
    <xf numFmtId="0" fontId="0" fillId="0" borderId="4" xfId="0" applyBorder="1" applyAlignment="1">
      <alignment horizontal="center" vertical="center"/>
    </xf>
    <xf numFmtId="0" fontId="0" fillId="0" borderId="8" xfId="0" applyBorder="1" applyAlignment="1">
      <alignment horizontal="center" vertical="center"/>
    </xf>
    <xf numFmtId="0" fontId="11" fillId="3" borderId="4"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0" fillId="0" borderId="5" xfId="0" applyBorder="1" applyAlignment="1">
      <alignment horizontal="center" vertical="center"/>
    </xf>
    <xf numFmtId="0" fontId="0" fillId="0" borderId="1" xfId="0" applyBorder="1" applyAlignment="1">
      <alignment horizontal="center" vertical="center"/>
    </xf>
    <xf numFmtId="0" fontId="11" fillId="3" borderId="12"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3" fillId="3" borderId="5" xfId="2" applyFill="1" applyBorder="1" applyAlignment="1">
      <alignment horizontal="center" vertical="center"/>
    </xf>
    <xf numFmtId="0" fontId="11" fillId="3" borderId="1" xfId="0" applyFont="1" applyFill="1" applyBorder="1" applyAlignment="1">
      <alignment horizontal="center" vertical="center"/>
    </xf>
    <xf numFmtId="0" fontId="11" fillId="3" borderId="5" xfId="0" applyFont="1" applyFill="1" applyBorder="1" applyAlignment="1">
      <alignment horizontal="center" vertical="center"/>
    </xf>
    <xf numFmtId="0" fontId="11" fillId="0" borderId="4"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25" fillId="0" borderId="5"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5" fillId="0" borderId="5" xfId="2" applyFont="1" applyFill="1" applyBorder="1" applyAlignment="1">
      <alignment horizontal="center" vertical="center" wrapText="1"/>
    </xf>
    <xf numFmtId="0" fontId="15" fillId="0" borderId="2" xfId="2"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5" xfId="0" applyFont="1" applyBorder="1" applyAlignment="1">
      <alignment horizontal="center" vertical="center" wrapText="1"/>
    </xf>
    <xf numFmtId="0" fontId="0" fillId="0" borderId="0" xfId="0" applyAlignment="1">
      <alignment horizontal="center" vertical="center"/>
    </xf>
    <xf numFmtId="0" fontId="12" fillId="0" borderId="4" xfId="0" applyFont="1" applyBorder="1" applyAlignment="1">
      <alignment horizontal="center" vertical="center" wrapText="1"/>
    </xf>
    <xf numFmtId="0" fontId="12" fillId="0" borderId="0" xfId="0" applyFont="1" applyAlignment="1">
      <alignment horizontal="center" vertical="center"/>
    </xf>
    <xf numFmtId="0" fontId="0" fillId="0" borderId="2" xfId="0" applyBorder="1" applyAlignment="1">
      <alignment horizontal="center" vertical="center"/>
    </xf>
    <xf numFmtId="0" fontId="11" fillId="0" borderId="4"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6" fillId="8" borderId="4" xfId="0" applyFont="1" applyFill="1" applyBorder="1" applyAlignment="1">
      <alignment horizontal="center" vertical="center" wrapText="1"/>
    </xf>
    <xf numFmtId="0" fontId="16" fillId="8" borderId="0" xfId="0" applyFont="1" applyFill="1" applyAlignment="1">
      <alignment horizontal="center" vertical="center" wrapText="1"/>
    </xf>
    <xf numFmtId="0" fontId="16" fillId="8" borderId="8" xfId="0" applyFont="1" applyFill="1" applyBorder="1" applyAlignment="1">
      <alignment horizontal="center" vertical="center" wrapText="1"/>
    </xf>
    <xf numFmtId="0" fontId="11" fillId="0" borderId="3" xfId="0" applyFont="1" applyBorder="1" applyAlignment="1">
      <alignment horizontal="center" vertical="center"/>
    </xf>
    <xf numFmtId="0" fontId="11" fillId="0" borderId="6" xfId="0" applyFont="1" applyBorder="1" applyAlignment="1">
      <alignment horizontal="center" vertical="center"/>
    </xf>
    <xf numFmtId="0" fontId="11" fillId="3" borderId="0" xfId="0" applyFont="1" applyFill="1" applyAlignment="1">
      <alignment horizontal="center" vertical="center" wrapText="1"/>
    </xf>
    <xf numFmtId="0" fontId="11" fillId="3" borderId="4" xfId="0" applyFont="1" applyFill="1" applyBorder="1" applyAlignment="1">
      <alignment horizontal="center" vertical="center"/>
    </xf>
    <xf numFmtId="0" fontId="11" fillId="3" borderId="0" xfId="0" applyFont="1" applyFill="1" applyAlignment="1">
      <alignment horizontal="center" vertical="center"/>
    </xf>
    <xf numFmtId="0" fontId="11" fillId="3" borderId="8" xfId="0" applyFont="1" applyFill="1" applyBorder="1" applyAlignment="1">
      <alignment horizontal="center" vertical="center"/>
    </xf>
    <xf numFmtId="0" fontId="14" fillId="3" borderId="0" xfId="0" applyFont="1" applyFill="1" applyAlignment="1">
      <alignment horizontal="center" vertical="center" wrapText="1"/>
    </xf>
    <xf numFmtId="0" fontId="11" fillId="3" borderId="2" xfId="0" applyFont="1" applyFill="1" applyBorder="1" applyAlignment="1">
      <alignment horizontal="center" vertical="center"/>
    </xf>
    <xf numFmtId="0" fontId="11" fillId="3" borderId="6"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4" fillId="0" borderId="8" xfId="0" applyFont="1" applyBorder="1" applyAlignment="1">
      <alignment horizontal="center" vertical="center" wrapText="1"/>
    </xf>
    <xf numFmtId="0" fontId="13" fillId="0" borderId="5" xfId="2" applyFill="1" applyBorder="1" applyAlignment="1">
      <alignment horizontal="center" vertical="center" wrapText="1"/>
    </xf>
    <xf numFmtId="0" fontId="13" fillId="0" borderId="2" xfId="2" applyFill="1" applyBorder="1" applyAlignment="1">
      <alignment horizontal="center" vertical="center" wrapText="1"/>
    </xf>
    <xf numFmtId="0" fontId="13" fillId="0" borderId="1" xfId="2" applyFill="1" applyBorder="1" applyAlignment="1">
      <alignment horizontal="center" vertical="center" wrapText="1"/>
    </xf>
    <xf numFmtId="0" fontId="16" fillId="0" borderId="5"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0" xfId="0" applyFont="1" applyAlignment="1">
      <alignment horizontal="center" vertical="center" wrapText="1"/>
    </xf>
    <xf numFmtId="0" fontId="16" fillId="0" borderId="8" xfId="0" applyFont="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wrapText="1"/>
    </xf>
    <xf numFmtId="0" fontId="12" fillId="0" borderId="0" xfId="0" applyFont="1" applyAlignment="1">
      <alignment horizontal="center" vertical="center" wrapText="1"/>
    </xf>
    <xf numFmtId="0" fontId="0" fillId="0" borderId="2" xfId="0" applyBorder="1" applyAlignment="1">
      <alignment horizontal="center" vertical="center" wrapText="1"/>
    </xf>
    <xf numFmtId="0" fontId="11" fillId="0" borderId="2" xfId="0" applyFont="1" applyBorder="1" applyAlignment="1">
      <alignment horizontal="center" vertical="center"/>
    </xf>
    <xf numFmtId="0" fontId="11" fillId="0" borderId="5" xfId="0" applyFont="1" applyBorder="1" applyAlignment="1">
      <alignment horizontal="center" vertical="center"/>
    </xf>
    <xf numFmtId="0" fontId="11" fillId="0" borderId="1" xfId="0" applyFont="1" applyBorder="1" applyAlignment="1">
      <alignment horizontal="center" vertical="center"/>
    </xf>
    <xf numFmtId="0" fontId="12" fillId="0" borderId="8" xfId="0" applyFont="1" applyBorder="1" applyAlignment="1">
      <alignment horizontal="center" vertical="center" wrapText="1"/>
    </xf>
    <xf numFmtId="0" fontId="13" fillId="0" borderId="5" xfId="2" applyFill="1" applyBorder="1" applyAlignment="1">
      <alignment horizontal="center" vertical="center"/>
    </xf>
    <xf numFmtId="16" fontId="11" fillId="0" borderId="4" xfId="0" applyNumberFormat="1" applyFont="1" applyBorder="1" applyAlignment="1">
      <alignment horizontal="center" vertical="center" wrapText="1"/>
    </xf>
    <xf numFmtId="0" fontId="11" fillId="0" borderId="7" xfId="0" applyFont="1" applyBorder="1" applyAlignment="1">
      <alignment horizontal="center" vertical="center"/>
    </xf>
    <xf numFmtId="0" fontId="16" fillId="3" borderId="4" xfId="0" applyFont="1" applyFill="1" applyBorder="1" applyAlignment="1">
      <alignment horizontal="center" vertical="center" wrapText="1"/>
    </xf>
    <xf numFmtId="0" fontId="16" fillId="3" borderId="0" xfId="0" applyFont="1" applyFill="1" applyAlignment="1">
      <alignment horizontal="center" vertical="center" wrapText="1"/>
    </xf>
    <xf numFmtId="0" fontId="16" fillId="3" borderId="8" xfId="0" applyFont="1" applyFill="1" applyBorder="1" applyAlignment="1">
      <alignment horizontal="center" vertical="center" wrapText="1"/>
    </xf>
    <xf numFmtId="0" fontId="22" fillId="0" borderId="0" xfId="5" applyFont="1" applyAlignment="1">
      <alignment horizontal="left"/>
    </xf>
    <xf numFmtId="0" fontId="21" fillId="0" borderId="0" xfId="5" applyFont="1" applyAlignment="1">
      <alignment horizontal="left"/>
    </xf>
    <xf numFmtId="0" fontId="14" fillId="0" borderId="0" xfId="3" applyFont="1"/>
    <xf numFmtId="0" fontId="26" fillId="0" borderId="0" xfId="3" applyFont="1"/>
    <xf numFmtId="0" fontId="27" fillId="0" borderId="0" xfId="6" applyFont="1" applyAlignment="1">
      <alignment horizontal="left"/>
    </xf>
    <xf numFmtId="0" fontId="11" fillId="3" borderId="12" xfId="0" applyFont="1" applyFill="1" applyBorder="1" applyAlignment="1">
      <alignment horizontal="center" vertical="center"/>
    </xf>
    <xf numFmtId="0" fontId="11" fillId="3" borderId="14" xfId="0" applyFont="1" applyFill="1" applyBorder="1" applyAlignment="1">
      <alignment horizontal="center" vertical="center"/>
    </xf>
    <xf numFmtId="0" fontId="0" fillId="3" borderId="4" xfId="0" applyFill="1" applyBorder="1" applyAlignment="1">
      <alignment horizontal="center"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0" fillId="3" borderId="4" xfId="0" applyFill="1" applyBorder="1" applyAlignment="1">
      <alignment horizontal="center" vertical="center" wrapText="1"/>
    </xf>
    <xf numFmtId="0" fontId="11" fillId="3" borderId="13" xfId="0" applyFont="1" applyFill="1" applyBorder="1" applyAlignment="1">
      <alignment horizontal="center" vertical="center" wrapText="1"/>
    </xf>
    <xf numFmtId="0" fontId="11" fillId="3" borderId="13" xfId="0" applyFont="1" applyFill="1" applyBorder="1" applyAlignment="1">
      <alignment horizontal="center" vertical="center"/>
    </xf>
    <xf numFmtId="0" fontId="0" fillId="3" borderId="5" xfId="0" applyFill="1" applyBorder="1" applyAlignment="1">
      <alignment horizontal="center" vertical="center"/>
    </xf>
    <xf numFmtId="0" fontId="0" fillId="3" borderId="2" xfId="0" applyFill="1" applyBorder="1" applyAlignment="1">
      <alignment horizontal="center" vertical="center"/>
    </xf>
    <xf numFmtId="0" fontId="0" fillId="3" borderId="1" xfId="0" applyFill="1" applyBorder="1" applyAlignment="1">
      <alignment horizontal="center" vertical="center"/>
    </xf>
    <xf numFmtId="0" fontId="12" fillId="3" borderId="8" xfId="0" applyFont="1" applyFill="1" applyBorder="1" applyAlignment="1">
      <alignment horizontal="center" vertical="center" wrapText="1"/>
    </xf>
    <xf numFmtId="0" fontId="11" fillId="3" borderId="0" xfId="0" applyFont="1" applyFill="1" applyAlignment="1">
      <alignment horizontal="center" wrapText="1"/>
    </xf>
    <xf numFmtId="0" fontId="11" fillId="3" borderId="8" xfId="0" applyFont="1" applyFill="1" applyBorder="1" applyAlignment="1">
      <alignment horizontal="center" wrapText="1"/>
    </xf>
    <xf numFmtId="0" fontId="12" fillId="3" borderId="0" xfId="0" applyFont="1" applyFill="1" applyAlignment="1">
      <alignment horizontal="center" vertical="center" wrapText="1"/>
    </xf>
    <xf numFmtId="0" fontId="13" fillId="3" borderId="2" xfId="2" applyFill="1" applyBorder="1" applyAlignment="1">
      <alignment horizontal="center" vertical="center" wrapText="1"/>
    </xf>
    <xf numFmtId="0" fontId="13" fillId="3" borderId="1" xfId="2" applyFill="1" applyBorder="1" applyAlignment="1">
      <alignment horizontal="center" vertical="center" wrapText="1"/>
    </xf>
    <xf numFmtId="0" fontId="25" fillId="3" borderId="12" xfId="0" applyFont="1" applyFill="1" applyBorder="1" applyAlignment="1">
      <alignment horizontal="center" vertical="center" wrapText="1"/>
    </xf>
    <xf numFmtId="0" fontId="25" fillId="3" borderId="13" xfId="0" applyFont="1" applyFill="1" applyBorder="1" applyAlignment="1">
      <alignment horizontal="center" vertical="center" wrapText="1"/>
    </xf>
    <xf numFmtId="0" fontId="25" fillId="3" borderId="14" xfId="0" applyFont="1" applyFill="1" applyBorder="1" applyAlignment="1">
      <alignment horizontal="center" vertical="center" wrapText="1"/>
    </xf>
    <xf numFmtId="0" fontId="15" fillId="3" borderId="2" xfId="2" applyFont="1" applyFill="1" applyBorder="1" applyAlignment="1">
      <alignment horizontal="center" vertical="center" wrapText="1"/>
    </xf>
    <xf numFmtId="0" fontId="12" fillId="3" borderId="0" xfId="0" applyFont="1" applyFill="1" applyAlignment="1">
      <alignment horizontal="center" vertical="center"/>
    </xf>
    <xf numFmtId="0" fontId="15" fillId="3" borderId="5" xfId="2" applyFont="1" applyFill="1" applyBorder="1" applyAlignment="1">
      <alignment horizontal="center" vertical="center" wrapText="1"/>
    </xf>
    <xf numFmtId="0" fontId="15" fillId="3" borderId="1" xfId="2" applyFont="1" applyFill="1" applyBorder="1" applyAlignment="1">
      <alignment horizontal="center" vertical="center" wrapText="1"/>
    </xf>
    <xf numFmtId="0" fontId="11" fillId="3" borderId="6" xfId="0" applyFont="1" applyFill="1" applyBorder="1" applyAlignment="1">
      <alignment horizontal="center" vertical="center"/>
    </xf>
    <xf numFmtId="0" fontId="1" fillId="0" borderId="0" xfId="0" applyFont="1" applyAlignment="1">
      <alignment horizontal="center" vertical="center" wrapText="1"/>
    </xf>
    <xf numFmtId="0" fontId="1" fillId="0" borderId="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8" xfId="0" applyFont="1" applyBorder="1" applyAlignment="1">
      <alignment horizontal="center" vertical="center"/>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0" fillId="0" borderId="6" xfId="0" applyBorder="1" applyAlignment="1">
      <alignment horizontal="left" vertical="center"/>
    </xf>
    <xf numFmtId="0" fontId="1" fillId="3"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8"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4" xfId="0" applyBorder="1" applyAlignment="1">
      <alignment horizontal="center" wrapText="1"/>
    </xf>
    <xf numFmtId="0" fontId="0" fillId="0" borderId="0" xfId="0" applyAlignment="1">
      <alignment horizontal="center" wrapText="1"/>
    </xf>
    <xf numFmtId="0" fontId="0" fillId="0" borderId="8" xfId="0" applyBorder="1" applyAlignment="1">
      <alignment horizontal="center" wrapText="1"/>
    </xf>
    <xf numFmtId="0" fontId="1" fillId="0" borderId="3" xfId="0" applyFont="1" applyBorder="1" applyAlignment="1">
      <alignment horizontal="center" vertical="center"/>
    </xf>
    <xf numFmtId="0" fontId="1" fillId="3" borderId="3"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1" fillId="0" borderId="12" xfId="0" applyFont="1" applyBorder="1" applyAlignment="1">
      <alignment horizontal="center" vertical="center" wrapText="1"/>
    </xf>
    <xf numFmtId="0" fontId="11" fillId="0" borderId="14" xfId="0" applyFont="1" applyBorder="1" applyAlignment="1">
      <alignment horizontal="center" vertical="center" wrapText="1"/>
    </xf>
    <xf numFmtId="17" fontId="11" fillId="0" borderId="4" xfId="0" applyNumberFormat="1"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wrapText="1"/>
    </xf>
    <xf numFmtId="0" fontId="11" fillId="0" borderId="8" xfId="0" applyFont="1" applyBorder="1" applyAlignment="1">
      <alignment horizontal="center" wrapText="1"/>
    </xf>
    <xf numFmtId="16" fontId="11" fillId="0" borderId="8" xfId="0" applyNumberFormat="1"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14" xfId="0" applyFont="1" applyBorder="1" applyAlignment="1">
      <alignment horizontal="center" vertical="center" wrapText="1"/>
    </xf>
    <xf numFmtId="0" fontId="14" fillId="0" borderId="8" xfId="0" applyFont="1" applyBorder="1" applyAlignment="1">
      <alignment horizontal="center" vertical="center"/>
    </xf>
    <xf numFmtId="0" fontId="11" fillId="0" borderId="13" xfId="0" applyFont="1" applyBorder="1" applyAlignment="1">
      <alignment horizontal="center" vertical="center"/>
    </xf>
    <xf numFmtId="0" fontId="40" fillId="0" borderId="15" xfId="0" applyFont="1" applyBorder="1" applyAlignment="1">
      <alignment horizontal="center" vertical="center"/>
    </xf>
    <xf numFmtId="0" fontId="41" fillId="0" borderId="15" xfId="0" applyFont="1" applyBorder="1" applyAlignment="1">
      <alignment horizontal="center" vertical="center"/>
    </xf>
    <xf numFmtId="0" fontId="42" fillId="0" borderId="15" xfId="0" applyFont="1" applyBorder="1" applyAlignment="1">
      <alignment horizontal="center" vertical="center"/>
    </xf>
    <xf numFmtId="0" fontId="40" fillId="0" borderId="0" xfId="0" applyFont="1" applyAlignment="1">
      <alignment horizontal="center" vertical="center"/>
    </xf>
    <xf numFmtId="0" fontId="40" fillId="0" borderId="15" xfId="0" applyFont="1" applyBorder="1" applyAlignment="1">
      <alignment horizontal="center" vertical="center" wrapText="1"/>
    </xf>
    <xf numFmtId="0" fontId="38" fillId="0" borderId="15" xfId="0" applyFont="1" applyBorder="1" applyAlignment="1">
      <alignment horizontal="center" vertical="center"/>
    </xf>
    <xf numFmtId="0" fontId="39" fillId="0" borderId="15" xfId="0" applyFont="1" applyBorder="1" applyAlignment="1">
      <alignment horizontal="center" vertical="center"/>
    </xf>
    <xf numFmtId="0" fontId="43" fillId="0" borderId="15" xfId="0" applyFont="1" applyBorder="1" applyAlignment="1">
      <alignment horizontal="center" vertical="center" wrapText="1"/>
    </xf>
    <xf numFmtId="0" fontId="43" fillId="0" borderId="15" xfId="0" applyFont="1" applyBorder="1" applyAlignment="1">
      <alignment horizontal="center" vertical="center"/>
    </xf>
    <xf numFmtId="9" fontId="38" fillId="9" borderId="15" xfId="0" applyNumberFormat="1" applyFont="1" applyFill="1" applyBorder="1" applyAlignment="1">
      <alignment horizontal="center" vertical="center" wrapText="1"/>
    </xf>
    <xf numFmtId="0" fontId="38" fillId="9" borderId="15" xfId="0" applyFont="1" applyFill="1" applyBorder="1" applyAlignment="1">
      <alignment horizontal="center" vertical="center" wrapText="1"/>
    </xf>
    <xf numFmtId="0" fontId="41" fillId="9" borderId="15" xfId="0" applyFont="1" applyFill="1" applyBorder="1" applyAlignment="1">
      <alignment horizontal="center" vertical="center" wrapText="1"/>
    </xf>
    <xf numFmtId="0" fontId="42" fillId="0" borderId="0" xfId="0" applyFont="1" applyAlignment="1">
      <alignment horizontal="center" vertical="center"/>
    </xf>
    <xf numFmtId="0" fontId="42" fillId="0" borderId="19" xfId="0" applyFont="1" applyBorder="1" applyAlignment="1">
      <alignment horizontal="center" vertical="center" wrapText="1"/>
    </xf>
    <xf numFmtId="0" fontId="42" fillId="0" borderId="15" xfId="0" applyFont="1" applyBorder="1" applyAlignment="1">
      <alignment horizontal="center" vertical="center" wrapText="1"/>
    </xf>
    <xf numFmtId="0" fontId="42" fillId="10" borderId="15" xfId="0" applyFont="1" applyFill="1" applyBorder="1" applyAlignment="1">
      <alignment horizontal="center" vertical="center"/>
    </xf>
    <xf numFmtId="0" fontId="42" fillId="10" borderId="15" xfId="0" applyFont="1" applyFill="1" applyBorder="1" applyAlignment="1">
      <alignment horizontal="center" vertical="center" wrapText="1"/>
    </xf>
    <xf numFmtId="0" fontId="44" fillId="0" borderId="0" xfId="0" applyFont="1" applyAlignment="1">
      <alignment horizontal="left" vertical="center"/>
    </xf>
    <xf numFmtId="0" fontId="42" fillId="0" borderId="0" xfId="0" applyFont="1" applyAlignment="1">
      <alignment horizontal="center" vertical="center" wrapText="1"/>
    </xf>
    <xf numFmtId="9" fontId="38" fillId="0" borderId="15" xfId="0" applyNumberFormat="1" applyFont="1" applyBorder="1" applyAlignment="1">
      <alignment horizontal="center" vertical="center" wrapText="1"/>
    </xf>
    <xf numFmtId="0" fontId="38" fillId="0" borderId="15" xfId="0" applyFont="1" applyBorder="1" applyAlignment="1">
      <alignment horizontal="center" vertical="center" wrapText="1"/>
    </xf>
    <xf numFmtId="0" fontId="41" fillId="0" borderId="15" xfId="0" applyFont="1" applyBorder="1" applyAlignment="1">
      <alignment horizontal="center" vertical="center" wrapText="1"/>
    </xf>
  </cellXfs>
  <cellStyles count="9">
    <cellStyle name="Hiperlink" xfId="2" builtinId="8"/>
    <cellStyle name="Hiperlink 2" xfId="8" xr:uid="{BE355CE4-4656-E143-A120-C66C659FC47D}"/>
    <cellStyle name="Normal" xfId="0" builtinId="0"/>
    <cellStyle name="Normal 2" xfId="3" xr:uid="{F805C6E8-637F-DA42-9328-FA07206C8C53}"/>
    <cellStyle name="Normal 3" xfId="4" xr:uid="{838B4729-FE94-424D-B474-00DC46A19744}"/>
    <cellStyle name="Normal 4" xfId="5" xr:uid="{414C99FB-8EDF-874A-AAB5-281BE275B7C0}"/>
    <cellStyle name="Normal 5" xfId="6" xr:uid="{CAA2CF13-BBAE-E342-AE89-BFABDA2AC1FB}"/>
    <cellStyle name="Normal 6" xfId="7" xr:uid="{7DA6E5C6-1D75-764C-A30B-1594C1034299}"/>
    <cellStyle name="Ruim" xfId="1" builtinId="27"/>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0022395625001414?ref=pdf_download&amp;fr=RR-2&amp;rr=97a84c0e5fc85285" TargetMode="External"/><Relationship Id="rId3" Type="http://schemas.openxmlformats.org/officeDocument/2006/relationships/hyperlink" Target="https://www.sciencedirect.com/science/article/pii/S0924977X01000815?ref=pdf_download&amp;fr=RR-2&amp;rr=979f2c587fd71b08" TargetMode="External"/><Relationship Id="rId7" Type="http://schemas.openxmlformats.org/officeDocument/2006/relationships/hyperlink" Target="https://doi.org/10.1016/j.jad.2021.03.036" TargetMode="External"/><Relationship Id="rId2" Type="http://schemas.openxmlformats.org/officeDocument/2006/relationships/hyperlink" Target="https://www.sciencedirect.com/science/article/pii/S0306453017304705?ref=pdf_download&amp;fr=RR-2&amp;rr=979f0fdde8408e5a" TargetMode="External"/><Relationship Id="rId1" Type="http://schemas.openxmlformats.org/officeDocument/2006/relationships/hyperlink" Target="https://www.sciencedirect.com/science/article/pii/S1567576923004290?ref=pdf_download&amp;fr=RR-2&amp;rr=979f02ae5c9e1af5" TargetMode="External"/><Relationship Id="rId6" Type="http://schemas.openxmlformats.org/officeDocument/2006/relationships/hyperlink" Target="https://doi.org/10.1186/s12888-024-05910-0" TargetMode="External"/><Relationship Id="rId11" Type="http://schemas.openxmlformats.org/officeDocument/2006/relationships/hyperlink" Target="https://doi.org/10.1016/j.psychres.2020.113568" TargetMode="External"/><Relationship Id="rId5" Type="http://schemas.openxmlformats.org/officeDocument/2006/relationships/hyperlink" Target="https://pubmed.ncbi.nlm.nih.gov/22981313/" TargetMode="External"/><Relationship Id="rId10" Type="http://schemas.openxmlformats.org/officeDocument/2006/relationships/hyperlink" Target="https://doi.org/10.1002/hup.2588" TargetMode="External"/><Relationship Id="rId4" Type="http://schemas.openxmlformats.org/officeDocument/2006/relationships/hyperlink" Target="https://pubmed.ncbi.nlm.nih.gov/27137966/" TargetMode="External"/><Relationship Id="rId9" Type="http://schemas.openxmlformats.org/officeDocument/2006/relationships/hyperlink" Target="https://www.sciencedirect.com/science/article/pii/S0022395616308329?ref=pdf_download&amp;fr=RR-2&amp;rr=979ed720ce2b01d5"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i.org/10.1016/j.jad.2021.03.036" TargetMode="External"/><Relationship Id="rId2" Type="http://schemas.openxmlformats.org/officeDocument/2006/relationships/hyperlink" Target="https://doi.org/10.1186/s12888-024-05910-0" TargetMode="External"/><Relationship Id="rId1" Type="http://schemas.openxmlformats.org/officeDocument/2006/relationships/hyperlink" Target="https://doi.org/10.1016/j.jpsychires.2017.05.012" TargetMode="External"/><Relationship Id="rId5" Type="http://schemas.openxmlformats.org/officeDocument/2006/relationships/hyperlink" Target="https://doi.org/10.1016/j.psychres.2020.113568" TargetMode="External"/><Relationship Id="rId4" Type="http://schemas.openxmlformats.org/officeDocument/2006/relationships/hyperlink" Target="https://doi.org/10.1002/hup.258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016/j.psychres.2020.113568" TargetMode="External"/><Relationship Id="rId3" Type="http://schemas.openxmlformats.org/officeDocument/2006/relationships/hyperlink" Target="https://pubmed.ncbi.nlm.nih.gov/22981313/" TargetMode="External"/><Relationship Id="rId7" Type="http://schemas.openxmlformats.org/officeDocument/2006/relationships/hyperlink" Target="https://www.sciencedirect.com/science/article/pii/S0306453017304705?ref=pdf_download&amp;fr=RR-2&amp;rr=979f0fdde8408e5a" TargetMode="External"/><Relationship Id="rId2" Type="http://schemas.openxmlformats.org/officeDocument/2006/relationships/hyperlink" Target="https://www.sciencedirect.com/science/article/pii/S0924977X01000815?ref=pdf_download&amp;fr=RR-2&amp;rr=979f2c587fd71b08" TargetMode="External"/><Relationship Id="rId1" Type="http://schemas.openxmlformats.org/officeDocument/2006/relationships/hyperlink" Target="https://www.sciencedirect.com/science/article/pii/S1567576923004290?ref=pdf_download&amp;fr=RR-2&amp;rr=979f02ae5c9e1af5" TargetMode="External"/><Relationship Id="rId6" Type="http://schemas.openxmlformats.org/officeDocument/2006/relationships/hyperlink" Target="https://www.sciencedirect.com/science/article/pii/S0022395625001414?ref=pdf_download&amp;fr=RR-2&amp;rr=97a84c0e5fc85285" TargetMode="External"/><Relationship Id="rId5" Type="http://schemas.openxmlformats.org/officeDocument/2006/relationships/hyperlink" Target="https://doi.org/10.1016/j.jad.2021.03.036" TargetMode="External"/><Relationship Id="rId4" Type="http://schemas.openxmlformats.org/officeDocument/2006/relationships/hyperlink" Target="https://doi.org/10.1186/s12888-024-05910-0" TargetMode="External"/><Relationship Id="rId9" Type="http://schemas.openxmlformats.org/officeDocument/2006/relationships/hyperlink" Target="https://doi.org/10.1002/hup.2588"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sciencedirect.com/science/article/pii/S0022395625001414?ref=pdf_download&amp;fr=RR-2&amp;rr=97a84c0e5fc85285" TargetMode="External"/><Relationship Id="rId3" Type="http://schemas.openxmlformats.org/officeDocument/2006/relationships/hyperlink" Target="https://www.sciencedirect.com/science/article/pii/S0924977X01000815?ref=pdf_download&amp;fr=RR-2&amp;rr=979f2c587fd71b08" TargetMode="External"/><Relationship Id="rId7" Type="http://schemas.openxmlformats.org/officeDocument/2006/relationships/hyperlink" Target="https://doi.org/10.1016/j.jad.2021.03.036" TargetMode="External"/><Relationship Id="rId2" Type="http://schemas.openxmlformats.org/officeDocument/2006/relationships/hyperlink" Target="https://www.sciencedirect.com/science/article/pii/S0306453017304705?ref=pdf_download&amp;fr=RR-2&amp;rr=979f0fdde8408e5a" TargetMode="External"/><Relationship Id="rId1" Type="http://schemas.openxmlformats.org/officeDocument/2006/relationships/hyperlink" Target="https://www.sciencedirect.com/science/article/pii/S1567576923004290?ref=pdf_download&amp;fr=RR-2&amp;rr=979f02ae5c9e1af5" TargetMode="External"/><Relationship Id="rId6" Type="http://schemas.openxmlformats.org/officeDocument/2006/relationships/hyperlink" Target="https://doi.org/10.1186/s12888-024-05910-0" TargetMode="External"/><Relationship Id="rId5" Type="http://schemas.openxmlformats.org/officeDocument/2006/relationships/hyperlink" Target="https://pubmed.ncbi.nlm.nih.gov/22981313/" TargetMode="External"/><Relationship Id="rId4" Type="http://schemas.openxmlformats.org/officeDocument/2006/relationships/hyperlink" Target="https://pubmed.ncbi.nlm.nih.gov/27137966/" TargetMode="External"/><Relationship Id="rId9" Type="http://schemas.openxmlformats.org/officeDocument/2006/relationships/hyperlink" Target="https://www.sciencedirect.com/science/article/pii/S0022395616308329?ref=pdf_download&amp;fr=RR-2&amp;rr=979ed720ce2b01d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C975-3462-CB40-AE87-1D8922568E83}">
  <dimension ref="A1:T118"/>
  <sheetViews>
    <sheetView zoomScale="75" zoomScaleNormal="50" workbookViewId="0">
      <pane ySplit="1" topLeftCell="A2" activePane="bottomLeft" state="frozen"/>
      <selection pane="bottomLeft" activeCell="E125" sqref="E125"/>
    </sheetView>
  </sheetViews>
  <sheetFormatPr baseColWidth="10" defaultRowHeight="16"/>
  <cols>
    <col min="1" max="1" width="17.1640625" bestFit="1" customWidth="1"/>
    <col min="2" max="2" width="12.33203125" customWidth="1"/>
    <col min="3" max="3" width="21.5" customWidth="1"/>
    <col min="4" max="4" width="14.6640625" customWidth="1"/>
    <col min="5" max="5" width="21.5" customWidth="1"/>
    <col min="6" max="6" width="32.1640625" customWidth="1"/>
    <col min="7" max="7" width="10.5" customWidth="1"/>
    <col min="8" max="8" width="11.33203125" customWidth="1"/>
    <col min="9" max="9" width="20.6640625" style="319" customWidth="1"/>
    <col min="10" max="10" width="20.1640625" customWidth="1"/>
    <col min="11" max="11" width="11.33203125" style="320" customWidth="1"/>
    <col min="12" max="12" width="21.6640625" style="319" customWidth="1"/>
    <col min="13" max="13" width="20.33203125" customWidth="1"/>
    <col min="14" max="14" width="14.33203125" style="320" customWidth="1"/>
    <col min="15" max="15" width="17.83203125" customWidth="1"/>
    <col min="16" max="16" width="20.83203125" hidden="1" customWidth="1"/>
    <col min="17" max="17" width="16" customWidth="1"/>
    <col min="18" max="19" width="37.33203125" customWidth="1"/>
    <col min="20" max="20" width="15.33203125" customWidth="1"/>
  </cols>
  <sheetData>
    <row r="1" spans="1:20" ht="69" customHeight="1" thickBot="1">
      <c r="A1" s="309" t="s">
        <v>25</v>
      </c>
      <c r="B1" s="310" t="s">
        <v>1023</v>
      </c>
      <c r="C1" s="310" t="s">
        <v>1099</v>
      </c>
      <c r="D1" s="310" t="s">
        <v>1115</v>
      </c>
      <c r="E1" s="310" t="s">
        <v>1119</v>
      </c>
      <c r="F1" s="310" t="s">
        <v>884</v>
      </c>
      <c r="G1" s="310" t="s">
        <v>1100</v>
      </c>
      <c r="H1" s="310" t="s">
        <v>1101</v>
      </c>
      <c r="I1" s="313" t="s">
        <v>666</v>
      </c>
      <c r="J1" s="314" t="s">
        <v>665</v>
      </c>
      <c r="K1" s="315" t="s">
        <v>1531</v>
      </c>
      <c r="L1" s="309" t="s">
        <v>27</v>
      </c>
      <c r="M1" s="310" t="s">
        <v>28</v>
      </c>
      <c r="N1" s="312" t="s">
        <v>1532</v>
      </c>
      <c r="O1" s="310" t="s">
        <v>1112</v>
      </c>
      <c r="P1" s="311" t="s">
        <v>650</v>
      </c>
      <c r="Q1" s="310" t="s">
        <v>1113</v>
      </c>
      <c r="R1" s="311" t="s">
        <v>889</v>
      </c>
      <c r="S1" s="312" t="s">
        <v>1014</v>
      </c>
      <c r="T1" s="119"/>
    </row>
    <row r="2" spans="1:20" ht="31" customHeight="1">
      <c r="A2" s="377" t="s">
        <v>262</v>
      </c>
      <c r="B2" s="374" t="s">
        <v>926</v>
      </c>
      <c r="C2" s="384" t="s">
        <v>927</v>
      </c>
      <c r="D2" s="418" t="s">
        <v>1121</v>
      </c>
      <c r="E2" s="418" t="s">
        <v>1122</v>
      </c>
      <c r="F2" s="374" t="s">
        <v>631</v>
      </c>
      <c r="G2" s="374" t="s">
        <v>919</v>
      </c>
      <c r="H2" s="110" t="s">
        <v>263</v>
      </c>
      <c r="I2" s="201" t="s">
        <v>668</v>
      </c>
      <c r="J2" s="215" t="s">
        <v>672</v>
      </c>
      <c r="K2" s="305" t="s">
        <v>1455</v>
      </c>
      <c r="L2" s="265" t="s">
        <v>487</v>
      </c>
      <c r="M2" s="110" t="s">
        <v>488</v>
      </c>
      <c r="N2" s="305" t="s">
        <v>194</v>
      </c>
      <c r="O2" s="367" t="s">
        <v>1026</v>
      </c>
      <c r="P2" s="268" t="s">
        <v>921</v>
      </c>
      <c r="Q2" s="377" t="s">
        <v>1114</v>
      </c>
      <c r="R2" s="363" t="s">
        <v>918</v>
      </c>
      <c r="S2" s="366" t="s">
        <v>1015</v>
      </c>
    </row>
    <row r="3" spans="1:20" ht="17">
      <c r="A3" s="377"/>
      <c r="B3" s="374"/>
      <c r="C3" s="384"/>
      <c r="D3" s="418"/>
      <c r="E3" s="418"/>
      <c r="F3" s="374"/>
      <c r="G3" s="374"/>
      <c r="H3" s="110" t="s">
        <v>4</v>
      </c>
      <c r="I3" s="205" t="s">
        <v>669</v>
      </c>
      <c r="J3" s="224" t="s">
        <v>673</v>
      </c>
      <c r="K3" s="307" t="s">
        <v>1456</v>
      </c>
      <c r="L3" s="265" t="s">
        <v>490</v>
      </c>
      <c r="M3" s="110" t="s">
        <v>489</v>
      </c>
      <c r="N3" s="307" t="s">
        <v>1479</v>
      </c>
      <c r="O3" s="367"/>
      <c r="P3" s="268" t="s">
        <v>921</v>
      </c>
      <c r="Q3" s="377"/>
      <c r="R3" s="363"/>
      <c r="S3" s="367"/>
    </row>
    <row r="4" spans="1:20" ht="59" customHeight="1" thickBot="1">
      <c r="A4" s="378"/>
      <c r="B4" s="375"/>
      <c r="C4" s="346"/>
      <c r="D4" s="419"/>
      <c r="E4" s="419"/>
      <c r="F4" s="375"/>
      <c r="G4" s="375"/>
      <c r="H4" s="270" t="s">
        <v>5</v>
      </c>
      <c r="I4" s="210" t="s">
        <v>671</v>
      </c>
      <c r="J4" s="225" t="s">
        <v>674</v>
      </c>
      <c r="K4" s="322" t="s">
        <v>1298</v>
      </c>
      <c r="L4" s="269" t="s">
        <v>493</v>
      </c>
      <c r="M4" s="270" t="s">
        <v>491</v>
      </c>
      <c r="N4" s="308" t="s">
        <v>1480</v>
      </c>
      <c r="O4" s="394"/>
      <c r="P4" s="274" t="s">
        <v>921</v>
      </c>
      <c r="Q4" s="378"/>
      <c r="R4" s="395"/>
      <c r="S4" s="394"/>
    </row>
    <row r="5" spans="1:20" ht="99" customHeight="1" thickBot="1">
      <c r="A5" s="259" t="s">
        <v>1333</v>
      </c>
      <c r="B5" s="260" t="s">
        <v>1331</v>
      </c>
      <c r="C5" s="200" t="s">
        <v>1338</v>
      </c>
      <c r="D5" s="200" t="s">
        <v>1339</v>
      </c>
      <c r="E5" s="200" t="s">
        <v>1340</v>
      </c>
      <c r="F5" s="260" t="s">
        <v>1341</v>
      </c>
      <c r="G5" s="260" t="s">
        <v>924</v>
      </c>
      <c r="H5" s="260" t="s">
        <v>5</v>
      </c>
      <c r="I5" s="199" t="s">
        <v>1334</v>
      </c>
      <c r="J5" s="200" t="s">
        <v>1335</v>
      </c>
      <c r="K5" s="322" t="s">
        <v>1298</v>
      </c>
      <c r="L5" s="259" t="s">
        <v>1335</v>
      </c>
      <c r="M5" s="260" t="s">
        <v>1336</v>
      </c>
      <c r="N5" s="326" t="s">
        <v>1298</v>
      </c>
      <c r="O5" s="262" t="s">
        <v>1332</v>
      </c>
      <c r="P5" s="278"/>
      <c r="Q5" s="279" t="s">
        <v>1114</v>
      </c>
      <c r="R5" s="264" t="s">
        <v>1189</v>
      </c>
      <c r="S5" s="280" t="s">
        <v>1330</v>
      </c>
      <c r="T5" s="117"/>
    </row>
    <row r="6" spans="1:20" ht="17">
      <c r="A6" s="337" t="s">
        <v>1377</v>
      </c>
      <c r="B6" s="345" t="s">
        <v>1378</v>
      </c>
      <c r="C6" s="345" t="s">
        <v>1387</v>
      </c>
      <c r="D6" s="345" t="s">
        <v>1388</v>
      </c>
      <c r="E6" s="345" t="s">
        <v>1389</v>
      </c>
      <c r="F6" s="343" t="s">
        <v>1438</v>
      </c>
      <c r="G6" s="345" t="s">
        <v>1438</v>
      </c>
      <c r="H6" s="215" t="s">
        <v>2</v>
      </c>
      <c r="I6" s="199" t="s">
        <v>1379</v>
      </c>
      <c r="J6" s="200" t="s">
        <v>1383</v>
      </c>
      <c r="K6" s="323" t="s">
        <v>1298</v>
      </c>
      <c r="L6" s="70" t="s">
        <v>1438</v>
      </c>
      <c r="M6" s="61" t="s">
        <v>1438</v>
      </c>
      <c r="N6" s="63" t="s">
        <v>1438</v>
      </c>
      <c r="O6" s="391" t="s">
        <v>1026</v>
      </c>
      <c r="P6" s="385" t="s">
        <v>1114</v>
      </c>
      <c r="Q6" s="345" t="s">
        <v>1114</v>
      </c>
      <c r="R6" s="351" t="s">
        <v>1375</v>
      </c>
      <c r="S6" s="355" t="s">
        <v>1376</v>
      </c>
      <c r="T6" s="117"/>
    </row>
    <row r="7" spans="1:20" ht="17">
      <c r="A7" s="390"/>
      <c r="B7" s="384"/>
      <c r="C7" s="384"/>
      <c r="D7" s="384"/>
      <c r="E7" s="384"/>
      <c r="F7" s="369"/>
      <c r="G7" s="384"/>
      <c r="H7" s="224" t="s">
        <v>3</v>
      </c>
      <c r="I7" s="111" t="s">
        <v>1381</v>
      </c>
      <c r="J7" s="114" t="s">
        <v>1384</v>
      </c>
      <c r="K7" s="324" t="s">
        <v>1298</v>
      </c>
      <c r="L7" s="71" t="s">
        <v>1438</v>
      </c>
      <c r="M7" s="25" t="s">
        <v>1438</v>
      </c>
      <c r="N7" s="64" t="s">
        <v>1438</v>
      </c>
      <c r="O7" s="392"/>
      <c r="P7" s="386"/>
      <c r="Q7" s="384"/>
      <c r="R7" s="388"/>
      <c r="S7" s="389"/>
      <c r="T7" s="117"/>
    </row>
    <row r="8" spans="1:20" ht="17">
      <c r="A8" s="390"/>
      <c r="B8" s="384"/>
      <c r="C8" s="384"/>
      <c r="D8" s="384"/>
      <c r="E8" s="384"/>
      <c r="F8" s="369"/>
      <c r="G8" s="384"/>
      <c r="H8" s="224" t="s">
        <v>121</v>
      </c>
      <c r="I8" s="111" t="s">
        <v>1382</v>
      </c>
      <c r="J8" s="114" t="s">
        <v>1385</v>
      </c>
      <c r="K8" s="324" t="s">
        <v>1298</v>
      </c>
      <c r="L8" s="71" t="s">
        <v>1438</v>
      </c>
      <c r="M8" s="25" t="s">
        <v>1438</v>
      </c>
      <c r="N8" s="64" t="s">
        <v>1438</v>
      </c>
      <c r="O8" s="392"/>
      <c r="P8" s="386"/>
      <c r="Q8" s="384"/>
      <c r="R8" s="388"/>
      <c r="S8" s="389"/>
      <c r="T8" s="117"/>
    </row>
    <row r="9" spans="1:20" ht="18" thickBot="1">
      <c r="A9" s="338"/>
      <c r="B9" s="346"/>
      <c r="C9" s="346"/>
      <c r="D9" s="346"/>
      <c r="E9" s="346"/>
      <c r="F9" s="344"/>
      <c r="G9" s="346"/>
      <c r="H9" s="225" t="s">
        <v>1</v>
      </c>
      <c r="I9" s="111" t="s">
        <v>1380</v>
      </c>
      <c r="J9" s="114" t="s">
        <v>1386</v>
      </c>
      <c r="K9" s="322" t="s">
        <v>1298</v>
      </c>
      <c r="L9" s="72" t="s">
        <v>1438</v>
      </c>
      <c r="M9" s="62" t="s">
        <v>1438</v>
      </c>
      <c r="N9" s="65" t="s">
        <v>1438</v>
      </c>
      <c r="O9" s="393"/>
      <c r="P9" s="387"/>
      <c r="Q9" s="346"/>
      <c r="R9" s="352"/>
      <c r="S9" s="354"/>
      <c r="T9" s="117"/>
    </row>
    <row r="10" spans="1:20" ht="44" customHeight="1">
      <c r="A10" s="377" t="s">
        <v>1354</v>
      </c>
      <c r="B10" s="374" t="s">
        <v>1355</v>
      </c>
      <c r="C10" s="384" t="s">
        <v>1361</v>
      </c>
      <c r="D10" s="384" t="s">
        <v>1362</v>
      </c>
      <c r="E10" s="384" t="s">
        <v>1363</v>
      </c>
      <c r="F10" s="374" t="s">
        <v>1439</v>
      </c>
      <c r="G10" s="374" t="s">
        <v>1360</v>
      </c>
      <c r="H10" s="110" t="s">
        <v>3</v>
      </c>
      <c r="I10" s="199" t="s">
        <v>1366</v>
      </c>
      <c r="J10" s="200" t="s">
        <v>1364</v>
      </c>
      <c r="K10" s="305" t="s">
        <v>1457</v>
      </c>
      <c r="L10" s="265" t="s">
        <v>1369</v>
      </c>
      <c r="M10" s="110" t="s">
        <v>1370</v>
      </c>
      <c r="N10" s="305" t="s">
        <v>1481</v>
      </c>
      <c r="O10" s="367" t="s">
        <v>1202</v>
      </c>
      <c r="P10" s="115"/>
      <c r="Q10" s="383" t="s">
        <v>1135</v>
      </c>
      <c r="R10" s="363" t="s">
        <v>1356</v>
      </c>
      <c r="S10" s="410" t="s">
        <v>1357</v>
      </c>
      <c r="T10" s="117"/>
    </row>
    <row r="11" spans="1:20" ht="66" customHeight="1" thickBot="1">
      <c r="A11" s="378"/>
      <c r="B11" s="375"/>
      <c r="C11" s="346"/>
      <c r="D11" s="346"/>
      <c r="E11" s="346"/>
      <c r="F11" s="375"/>
      <c r="G11" s="375"/>
      <c r="H11" s="270" t="s">
        <v>1</v>
      </c>
      <c r="I11" s="111" t="s">
        <v>1367</v>
      </c>
      <c r="J11" s="114" t="s">
        <v>1365</v>
      </c>
      <c r="K11" s="308" t="s">
        <v>1458</v>
      </c>
      <c r="L11" s="269" t="s">
        <v>1368</v>
      </c>
      <c r="M11" s="270" t="s">
        <v>1371</v>
      </c>
      <c r="N11" s="308" t="s">
        <v>1482</v>
      </c>
      <c r="O11" s="394"/>
      <c r="P11" s="115"/>
      <c r="Q11" s="416"/>
      <c r="R11" s="395"/>
      <c r="S11" s="412"/>
      <c r="T11" s="117"/>
    </row>
    <row r="12" spans="1:20" ht="37" customHeight="1">
      <c r="A12" s="377" t="s">
        <v>360</v>
      </c>
      <c r="B12" s="374" t="s">
        <v>1028</v>
      </c>
      <c r="C12" s="345" t="s">
        <v>1124</v>
      </c>
      <c r="D12" s="417" t="s">
        <v>1125</v>
      </c>
      <c r="E12" s="417" t="s">
        <v>1126</v>
      </c>
      <c r="F12" s="374" t="s">
        <v>890</v>
      </c>
      <c r="G12" s="374" t="s">
        <v>920</v>
      </c>
      <c r="H12" s="110" t="s">
        <v>1</v>
      </c>
      <c r="I12" s="201" t="s">
        <v>677</v>
      </c>
      <c r="J12" s="215" t="s">
        <v>676</v>
      </c>
      <c r="K12" s="305" t="s">
        <v>1459</v>
      </c>
      <c r="L12" s="265" t="s">
        <v>7</v>
      </c>
      <c r="M12" s="110" t="s">
        <v>13</v>
      </c>
      <c r="N12" s="323" t="s">
        <v>1483</v>
      </c>
      <c r="O12" s="367" t="s">
        <v>1026</v>
      </c>
      <c r="P12" s="115" t="s">
        <v>887</v>
      </c>
      <c r="Q12" s="374" t="s">
        <v>1127</v>
      </c>
      <c r="R12" s="363" t="s">
        <v>888</v>
      </c>
      <c r="S12" s="410" t="s">
        <v>1016</v>
      </c>
      <c r="T12" s="117"/>
    </row>
    <row r="13" spans="1:20" ht="32" customHeight="1">
      <c r="A13" s="377"/>
      <c r="B13" s="374"/>
      <c r="C13" s="384"/>
      <c r="D13" s="418"/>
      <c r="E13" s="418"/>
      <c r="F13" s="374"/>
      <c r="G13" s="374"/>
      <c r="H13" s="110" t="s">
        <v>2</v>
      </c>
      <c r="I13" s="205" t="s">
        <v>678</v>
      </c>
      <c r="J13" s="224" t="s">
        <v>679</v>
      </c>
      <c r="K13" s="324" t="s">
        <v>1298</v>
      </c>
      <c r="L13" s="265" t="s">
        <v>8</v>
      </c>
      <c r="M13" s="110" t="s">
        <v>14</v>
      </c>
      <c r="N13" s="307" t="s">
        <v>1484</v>
      </c>
      <c r="O13" s="367"/>
      <c r="P13" s="115" t="s">
        <v>887</v>
      </c>
      <c r="Q13" s="374"/>
      <c r="R13" s="363"/>
      <c r="S13" s="410"/>
      <c r="T13" s="117"/>
    </row>
    <row r="14" spans="1:20" ht="33" customHeight="1">
      <c r="A14" s="377"/>
      <c r="B14" s="374"/>
      <c r="C14" s="384"/>
      <c r="D14" s="418"/>
      <c r="E14" s="418"/>
      <c r="F14" s="374"/>
      <c r="G14" s="374"/>
      <c r="H14" s="110" t="s">
        <v>3</v>
      </c>
      <c r="I14" s="205" t="s">
        <v>680</v>
      </c>
      <c r="J14" s="224" t="s">
        <v>681</v>
      </c>
      <c r="K14" s="324" t="s">
        <v>1298</v>
      </c>
      <c r="L14" s="265" t="s">
        <v>9</v>
      </c>
      <c r="M14" s="110" t="s">
        <v>15</v>
      </c>
      <c r="N14" s="307" t="s">
        <v>1485</v>
      </c>
      <c r="O14" s="367"/>
      <c r="P14" s="115" t="s">
        <v>887</v>
      </c>
      <c r="Q14" s="374"/>
      <c r="R14" s="363"/>
      <c r="S14" s="410"/>
      <c r="T14" s="117"/>
    </row>
    <row r="15" spans="1:20" ht="31" customHeight="1">
      <c r="A15" s="377"/>
      <c r="B15" s="374"/>
      <c r="C15" s="384"/>
      <c r="D15" s="418"/>
      <c r="E15" s="418"/>
      <c r="F15" s="374"/>
      <c r="G15" s="374"/>
      <c r="H15" s="110" t="s">
        <v>4</v>
      </c>
      <c r="I15" s="205" t="s">
        <v>682</v>
      </c>
      <c r="J15" s="224" t="s">
        <v>683</v>
      </c>
      <c r="K15" s="324" t="s">
        <v>1298</v>
      </c>
      <c r="L15" s="265" t="s">
        <v>10</v>
      </c>
      <c r="M15" s="110" t="s">
        <v>16</v>
      </c>
      <c r="N15" s="307" t="s">
        <v>201</v>
      </c>
      <c r="O15" s="367"/>
      <c r="P15" s="115" t="s">
        <v>887</v>
      </c>
      <c r="Q15" s="374"/>
      <c r="R15" s="363"/>
      <c r="S15" s="410"/>
      <c r="T15" s="117"/>
    </row>
    <row r="16" spans="1:20" ht="31" customHeight="1" thickBot="1">
      <c r="A16" s="378"/>
      <c r="B16" s="375"/>
      <c r="C16" s="346"/>
      <c r="D16" s="419"/>
      <c r="E16" s="419"/>
      <c r="F16" s="375"/>
      <c r="G16" s="375"/>
      <c r="H16" s="270" t="s">
        <v>5</v>
      </c>
      <c r="I16" s="205" t="s">
        <v>684</v>
      </c>
      <c r="J16" s="224" t="s">
        <v>685</v>
      </c>
      <c r="K16" s="322" t="s">
        <v>1298</v>
      </c>
      <c r="L16" s="269" t="s">
        <v>11</v>
      </c>
      <c r="M16" s="270" t="s">
        <v>17</v>
      </c>
      <c r="N16" s="308" t="s">
        <v>1486</v>
      </c>
      <c r="O16" s="394"/>
      <c r="P16" s="285" t="s">
        <v>887</v>
      </c>
      <c r="Q16" s="375"/>
      <c r="R16" s="395"/>
      <c r="S16" s="412"/>
      <c r="T16" s="117"/>
    </row>
    <row r="17" spans="1:20" ht="25" customHeight="1">
      <c r="A17" s="376" t="s">
        <v>1307</v>
      </c>
      <c r="B17" s="343" t="s">
        <v>1308</v>
      </c>
      <c r="C17" s="405" t="s">
        <v>1441</v>
      </c>
      <c r="D17" s="405" t="s">
        <v>1442</v>
      </c>
      <c r="E17" s="345" t="s">
        <v>1312</v>
      </c>
      <c r="F17" s="373" t="s">
        <v>1313</v>
      </c>
      <c r="G17" s="373" t="s">
        <v>1182</v>
      </c>
      <c r="H17" s="303" t="s">
        <v>251</v>
      </c>
      <c r="I17" s="247" t="s">
        <v>1315</v>
      </c>
      <c r="J17" s="246" t="s">
        <v>1318</v>
      </c>
      <c r="K17" s="305" t="s">
        <v>1460</v>
      </c>
      <c r="L17" s="304" t="s">
        <v>1324</v>
      </c>
      <c r="M17" s="303" t="s">
        <v>1325</v>
      </c>
      <c r="N17" s="323">
        <v>4.5999999999999999E-2</v>
      </c>
      <c r="O17" s="368" t="s">
        <v>1303</v>
      </c>
      <c r="P17" s="303"/>
      <c r="Q17" s="373" t="s">
        <v>1304</v>
      </c>
      <c r="R17" s="362" t="s">
        <v>1188</v>
      </c>
      <c r="S17" s="347" t="s">
        <v>1309</v>
      </c>
      <c r="T17" s="80"/>
    </row>
    <row r="18" spans="1:20" ht="26" customHeight="1">
      <c r="A18" s="377"/>
      <c r="B18" s="369"/>
      <c r="C18" s="369"/>
      <c r="D18" s="369"/>
      <c r="E18" s="384"/>
      <c r="F18" s="374"/>
      <c r="G18" s="374"/>
      <c r="H18" s="2" t="s">
        <v>1305</v>
      </c>
      <c r="I18" s="249" t="s">
        <v>1316</v>
      </c>
      <c r="J18" s="10" t="s">
        <v>1320</v>
      </c>
      <c r="K18" s="307" t="s">
        <v>1461</v>
      </c>
      <c r="L18" s="306" t="s">
        <v>1326</v>
      </c>
      <c r="M18" s="2" t="s">
        <v>1327</v>
      </c>
      <c r="N18" s="324" t="s">
        <v>1298</v>
      </c>
      <c r="O18" s="367"/>
      <c r="P18" s="2"/>
      <c r="Q18" s="374"/>
      <c r="R18" s="363"/>
      <c r="S18" s="372"/>
      <c r="T18" s="80"/>
    </row>
    <row r="19" spans="1:20" ht="26" customHeight="1" thickBot="1">
      <c r="A19" s="378"/>
      <c r="B19" s="344"/>
      <c r="C19" s="344"/>
      <c r="D19" s="344"/>
      <c r="E19" s="346"/>
      <c r="F19" s="375"/>
      <c r="G19" s="375"/>
      <c r="H19" s="270" t="s">
        <v>1</v>
      </c>
      <c r="I19" s="208" t="s">
        <v>1317</v>
      </c>
      <c r="J19" s="209" t="s">
        <v>1321</v>
      </c>
      <c r="K19" s="308" t="s">
        <v>1462</v>
      </c>
      <c r="L19" s="269" t="s">
        <v>1328</v>
      </c>
      <c r="M19" s="270" t="s">
        <v>1329</v>
      </c>
      <c r="N19" s="308" t="s">
        <v>1487</v>
      </c>
      <c r="O19" s="394"/>
      <c r="P19" s="284"/>
      <c r="Q19" s="375"/>
      <c r="R19" s="395"/>
      <c r="S19" s="348"/>
      <c r="T19" s="80"/>
    </row>
    <row r="20" spans="1:20" ht="35" customHeight="1">
      <c r="A20" s="376" t="s">
        <v>1306</v>
      </c>
      <c r="B20" s="373" t="s">
        <v>1276</v>
      </c>
      <c r="C20" s="373" t="s">
        <v>1280</v>
      </c>
      <c r="D20" s="373" t="s">
        <v>1443</v>
      </c>
      <c r="E20" s="373" t="s">
        <v>1281</v>
      </c>
      <c r="F20" s="373" t="s">
        <v>1287</v>
      </c>
      <c r="G20" s="373" t="s">
        <v>1286</v>
      </c>
      <c r="H20" s="260" t="s">
        <v>251</v>
      </c>
      <c r="I20" s="111" t="s">
        <v>1292</v>
      </c>
      <c r="J20" s="114" t="s">
        <v>1297</v>
      </c>
      <c r="K20" s="325" t="s">
        <v>1298</v>
      </c>
      <c r="L20" s="259" t="s">
        <v>1297</v>
      </c>
      <c r="M20" s="260" t="s">
        <v>1297</v>
      </c>
      <c r="N20" s="305" t="s">
        <v>1488</v>
      </c>
      <c r="O20" s="368" t="s">
        <v>1026</v>
      </c>
      <c r="P20" s="278"/>
      <c r="Q20" s="356" t="s">
        <v>1114</v>
      </c>
      <c r="R20" s="362" t="s">
        <v>1187</v>
      </c>
      <c r="S20" s="347" t="s">
        <v>1279</v>
      </c>
      <c r="T20" s="80"/>
    </row>
    <row r="21" spans="1:20" ht="26" customHeight="1">
      <c r="A21" s="377"/>
      <c r="B21" s="374"/>
      <c r="C21" s="374"/>
      <c r="D21" s="374"/>
      <c r="E21" s="374"/>
      <c r="F21" s="374"/>
      <c r="G21" s="374"/>
      <c r="H21" s="110" t="s">
        <v>2</v>
      </c>
      <c r="I21" s="111" t="s">
        <v>1288</v>
      </c>
      <c r="J21" s="114" t="s">
        <v>1293</v>
      </c>
      <c r="K21" s="325" t="s">
        <v>1298</v>
      </c>
      <c r="L21" s="265" t="s">
        <v>1293</v>
      </c>
      <c r="M21" s="110" t="s">
        <v>1300</v>
      </c>
      <c r="N21" s="324" t="s">
        <v>1298</v>
      </c>
      <c r="O21" s="367"/>
      <c r="P21" s="115"/>
      <c r="Q21" s="357"/>
      <c r="R21" s="363"/>
      <c r="S21" s="372"/>
      <c r="T21" s="80"/>
    </row>
    <row r="22" spans="1:20" ht="17">
      <c r="A22" s="377"/>
      <c r="B22" s="374"/>
      <c r="C22" s="374"/>
      <c r="D22" s="374"/>
      <c r="E22" s="374"/>
      <c r="F22" s="374"/>
      <c r="G22" s="374"/>
      <c r="H22" s="110" t="s">
        <v>1277</v>
      </c>
      <c r="I22" s="265" t="s">
        <v>1438</v>
      </c>
      <c r="J22" s="110" t="s">
        <v>1438</v>
      </c>
      <c r="K22" s="267" t="s">
        <v>1438</v>
      </c>
      <c r="L22" s="265" t="s">
        <v>1299</v>
      </c>
      <c r="M22" s="110" t="s">
        <v>1302</v>
      </c>
      <c r="N22" s="324" t="s">
        <v>1298</v>
      </c>
      <c r="O22" s="367"/>
      <c r="P22" s="115"/>
      <c r="Q22" s="357"/>
      <c r="R22" s="363"/>
      <c r="S22" s="372"/>
      <c r="T22" s="80"/>
    </row>
    <row r="23" spans="1:20" ht="28" customHeight="1">
      <c r="A23" s="377"/>
      <c r="B23" s="374"/>
      <c r="C23" s="374"/>
      <c r="D23" s="374"/>
      <c r="E23" s="374"/>
      <c r="F23" s="374"/>
      <c r="G23" s="374"/>
      <c r="H23" s="110" t="s">
        <v>98</v>
      </c>
      <c r="I23" s="111" t="s">
        <v>1291</v>
      </c>
      <c r="J23" s="114" t="s">
        <v>1296</v>
      </c>
      <c r="K23" s="325" t="s">
        <v>1298</v>
      </c>
      <c r="L23" s="265" t="s">
        <v>1296</v>
      </c>
      <c r="M23" s="110" t="s">
        <v>1428</v>
      </c>
      <c r="N23" s="324" t="s">
        <v>1298</v>
      </c>
      <c r="O23" s="367"/>
      <c r="P23" s="115"/>
      <c r="Q23" s="357"/>
      <c r="R23" s="363"/>
      <c r="S23" s="372"/>
      <c r="T23" s="80"/>
    </row>
    <row r="24" spans="1:20" ht="27" customHeight="1">
      <c r="A24" s="377"/>
      <c r="B24" s="374"/>
      <c r="C24" s="374"/>
      <c r="D24" s="374"/>
      <c r="E24" s="374"/>
      <c r="F24" s="374"/>
      <c r="G24" s="374"/>
      <c r="H24" s="110" t="s">
        <v>1278</v>
      </c>
      <c r="I24" s="111" t="s">
        <v>1290</v>
      </c>
      <c r="J24" s="114" t="s">
        <v>1295</v>
      </c>
      <c r="K24" s="325" t="s">
        <v>1298</v>
      </c>
      <c r="L24" s="265" t="s">
        <v>1295</v>
      </c>
      <c r="M24" s="110" t="s">
        <v>1430</v>
      </c>
      <c r="N24" s="307" t="s">
        <v>1489</v>
      </c>
      <c r="O24" s="367"/>
      <c r="P24" s="115"/>
      <c r="Q24" s="357"/>
      <c r="R24" s="363"/>
      <c r="S24" s="372"/>
      <c r="T24" s="80"/>
    </row>
    <row r="25" spans="1:20" ht="29" customHeight="1" thickBot="1">
      <c r="A25" s="378"/>
      <c r="B25" s="375"/>
      <c r="C25" s="375"/>
      <c r="D25" s="375"/>
      <c r="E25" s="375"/>
      <c r="F25" s="375"/>
      <c r="G25" s="375"/>
      <c r="H25" s="270" t="s">
        <v>1</v>
      </c>
      <c r="I25" s="111" t="s">
        <v>1289</v>
      </c>
      <c r="J25" s="114" t="s">
        <v>1294</v>
      </c>
      <c r="K25" s="325" t="s">
        <v>1298</v>
      </c>
      <c r="L25" s="269" t="s">
        <v>1294</v>
      </c>
      <c r="M25" s="270" t="s">
        <v>1301</v>
      </c>
      <c r="N25" s="322" t="s">
        <v>1298</v>
      </c>
      <c r="O25" s="394"/>
      <c r="P25" s="285"/>
      <c r="Q25" s="358"/>
      <c r="R25" s="395"/>
      <c r="S25" s="348"/>
      <c r="T25" s="80"/>
    </row>
    <row r="26" spans="1:20" ht="52" customHeight="1">
      <c r="A26" s="376" t="s">
        <v>1257</v>
      </c>
      <c r="B26" s="373" t="s">
        <v>1240</v>
      </c>
      <c r="C26" s="345" t="s">
        <v>1262</v>
      </c>
      <c r="D26" s="345" t="s">
        <v>1264</v>
      </c>
      <c r="E26" s="345" t="s">
        <v>1263</v>
      </c>
      <c r="F26" s="373" t="s">
        <v>1249</v>
      </c>
      <c r="G26" s="373" t="s">
        <v>1182</v>
      </c>
      <c r="H26" s="260" t="s">
        <v>97</v>
      </c>
      <c r="I26" s="247" t="s">
        <v>1266</v>
      </c>
      <c r="J26" s="200" t="s">
        <v>1268</v>
      </c>
      <c r="K26" s="323" t="s">
        <v>1298</v>
      </c>
      <c r="L26" s="259" t="s">
        <v>1265</v>
      </c>
      <c r="M26" s="260" t="s">
        <v>1270</v>
      </c>
      <c r="N26" s="323" t="s">
        <v>1298</v>
      </c>
      <c r="O26" s="368" t="s">
        <v>1241</v>
      </c>
      <c r="P26" s="82"/>
      <c r="Q26" s="343" t="s">
        <v>1114</v>
      </c>
      <c r="R26" s="362" t="s">
        <v>1258</v>
      </c>
      <c r="S26" s="347" t="s">
        <v>1259</v>
      </c>
      <c r="T26" s="80"/>
    </row>
    <row r="27" spans="1:20" ht="71" customHeight="1" thickBot="1">
      <c r="A27" s="378"/>
      <c r="B27" s="375"/>
      <c r="C27" s="346"/>
      <c r="D27" s="346"/>
      <c r="E27" s="346"/>
      <c r="F27" s="375"/>
      <c r="G27" s="375"/>
      <c r="H27" s="270" t="s">
        <v>1239</v>
      </c>
      <c r="I27" s="111" t="s">
        <v>1267</v>
      </c>
      <c r="J27" s="114" t="s">
        <v>1269</v>
      </c>
      <c r="K27" s="322" t="s">
        <v>1463</v>
      </c>
      <c r="L27" s="269" t="s">
        <v>1271</v>
      </c>
      <c r="M27" s="270" t="s">
        <v>1272</v>
      </c>
      <c r="N27" s="322" t="s">
        <v>1298</v>
      </c>
      <c r="O27" s="394"/>
      <c r="P27" s="285"/>
      <c r="Q27" s="344"/>
      <c r="R27" s="395"/>
      <c r="S27" s="348"/>
      <c r="T27" s="80"/>
    </row>
    <row r="28" spans="1:20" ht="43" customHeight="1">
      <c r="A28" s="376" t="s">
        <v>1013</v>
      </c>
      <c r="B28" s="373" t="s">
        <v>926</v>
      </c>
      <c r="C28" s="345" t="s">
        <v>1130</v>
      </c>
      <c r="D28" s="345" t="s">
        <v>1129</v>
      </c>
      <c r="E28" s="345" t="s">
        <v>1131</v>
      </c>
      <c r="F28" s="373" t="s">
        <v>932</v>
      </c>
      <c r="G28" s="373" t="s">
        <v>904</v>
      </c>
      <c r="H28" s="260" t="s">
        <v>5</v>
      </c>
      <c r="I28" s="247" t="s">
        <v>692</v>
      </c>
      <c r="J28" s="200" t="s">
        <v>632</v>
      </c>
      <c r="K28" s="324" t="s">
        <v>1298</v>
      </c>
      <c r="L28" s="259" t="s">
        <v>632</v>
      </c>
      <c r="M28" s="260" t="s">
        <v>930</v>
      </c>
      <c r="N28" s="323" t="s">
        <v>1298</v>
      </c>
      <c r="O28" s="368" t="s">
        <v>1134</v>
      </c>
      <c r="P28" s="82" t="s">
        <v>663</v>
      </c>
      <c r="Q28" s="343" t="s">
        <v>1135</v>
      </c>
      <c r="R28" s="370" t="s">
        <v>925</v>
      </c>
      <c r="S28" s="347" t="s">
        <v>1017</v>
      </c>
      <c r="T28" s="80"/>
    </row>
    <row r="29" spans="1:20" ht="45" customHeight="1" thickBot="1">
      <c r="A29" s="377"/>
      <c r="B29" s="374"/>
      <c r="C29" s="384"/>
      <c r="D29" s="384"/>
      <c r="E29" s="384"/>
      <c r="F29" s="374"/>
      <c r="G29" s="374"/>
      <c r="H29" s="110" t="s">
        <v>251</v>
      </c>
      <c r="I29" s="249" t="s">
        <v>693</v>
      </c>
      <c r="J29" s="114" t="s">
        <v>633</v>
      </c>
      <c r="K29" s="324" t="s">
        <v>1298</v>
      </c>
      <c r="L29" s="265" t="s">
        <v>633</v>
      </c>
      <c r="M29" s="110" t="s">
        <v>931</v>
      </c>
      <c r="N29" s="322" t="s">
        <v>1298</v>
      </c>
      <c r="O29" s="367"/>
      <c r="P29" s="80" t="s">
        <v>663</v>
      </c>
      <c r="Q29" s="369"/>
      <c r="R29" s="408"/>
      <c r="S29" s="372"/>
      <c r="T29" s="80"/>
    </row>
    <row r="30" spans="1:20" ht="49" customHeight="1">
      <c r="A30" s="376" t="s">
        <v>1242</v>
      </c>
      <c r="B30" s="373" t="s">
        <v>1240</v>
      </c>
      <c r="C30" s="345" t="s">
        <v>1243</v>
      </c>
      <c r="D30" s="345" t="s">
        <v>1245</v>
      </c>
      <c r="E30" s="345" t="s">
        <v>1244</v>
      </c>
      <c r="F30" s="373" t="s">
        <v>1249</v>
      </c>
      <c r="G30" s="373" t="s">
        <v>924</v>
      </c>
      <c r="H30" s="260" t="s">
        <v>97</v>
      </c>
      <c r="I30" s="247" t="s">
        <v>1250</v>
      </c>
      <c r="J30" s="200" t="s">
        <v>1252</v>
      </c>
      <c r="K30" s="305" t="s">
        <v>1464</v>
      </c>
      <c r="L30" s="259" t="s">
        <v>1252</v>
      </c>
      <c r="M30" s="260" t="s">
        <v>1255</v>
      </c>
      <c r="N30" s="305" t="s">
        <v>1490</v>
      </c>
      <c r="O30" s="368" t="s">
        <v>1241</v>
      </c>
      <c r="P30" s="82"/>
      <c r="Q30" s="343" t="s">
        <v>1114</v>
      </c>
      <c r="R30" s="362" t="s">
        <v>1186</v>
      </c>
      <c r="S30" s="347" t="s">
        <v>1260</v>
      </c>
      <c r="T30" s="110"/>
    </row>
    <row r="31" spans="1:20" ht="47" customHeight="1" thickBot="1">
      <c r="A31" s="377"/>
      <c r="B31" s="374"/>
      <c r="C31" s="346"/>
      <c r="D31" s="346"/>
      <c r="E31" s="346"/>
      <c r="F31" s="374"/>
      <c r="G31" s="374"/>
      <c r="H31" s="110" t="s">
        <v>1239</v>
      </c>
      <c r="I31" s="256" t="s">
        <v>1251</v>
      </c>
      <c r="J31" s="209" t="s">
        <v>1253</v>
      </c>
      <c r="K31" s="308" t="s">
        <v>1465</v>
      </c>
      <c r="L31" s="265" t="s">
        <v>1254</v>
      </c>
      <c r="M31" s="110" t="s">
        <v>1256</v>
      </c>
      <c r="N31" s="308" t="s">
        <v>1491</v>
      </c>
      <c r="O31" s="394"/>
      <c r="P31" s="285"/>
      <c r="Q31" s="344"/>
      <c r="R31" s="395"/>
      <c r="S31" s="348"/>
      <c r="T31" s="110"/>
    </row>
    <row r="32" spans="1:20" ht="38" customHeight="1" thickBot="1">
      <c r="A32" s="376" t="s">
        <v>1082</v>
      </c>
      <c r="B32" s="373" t="s">
        <v>1345</v>
      </c>
      <c r="C32" s="373" t="s">
        <v>1105</v>
      </c>
      <c r="D32" s="415" t="s">
        <v>1444</v>
      </c>
      <c r="E32" s="373" t="s">
        <v>1445</v>
      </c>
      <c r="F32" s="373" t="s">
        <v>1346</v>
      </c>
      <c r="G32" s="373" t="s">
        <v>904</v>
      </c>
      <c r="H32" s="260" t="s">
        <v>251</v>
      </c>
      <c r="I32" s="265" t="s">
        <v>1438</v>
      </c>
      <c r="J32" s="110" t="s">
        <v>1438</v>
      </c>
      <c r="K32" s="267" t="s">
        <v>1438</v>
      </c>
      <c r="L32" s="259" t="s">
        <v>1350</v>
      </c>
      <c r="M32" s="260" t="s">
        <v>1351</v>
      </c>
      <c r="N32" s="305" t="s">
        <v>1492</v>
      </c>
      <c r="O32" s="368" t="s">
        <v>1026</v>
      </c>
      <c r="P32" s="285"/>
      <c r="Q32" s="343" t="s">
        <v>1114</v>
      </c>
      <c r="R32" s="362" t="s">
        <v>1349</v>
      </c>
      <c r="S32" s="347" t="s">
        <v>1083</v>
      </c>
      <c r="T32" s="110"/>
    </row>
    <row r="33" spans="1:20" ht="51" customHeight="1" thickBot="1">
      <c r="A33" s="378"/>
      <c r="B33" s="375"/>
      <c r="C33" s="375"/>
      <c r="D33" s="375"/>
      <c r="E33" s="375"/>
      <c r="F33" s="375"/>
      <c r="G33" s="375"/>
      <c r="H33" s="270" t="s">
        <v>4</v>
      </c>
      <c r="I33" s="269" t="s">
        <v>1438</v>
      </c>
      <c r="J33" s="270" t="s">
        <v>1438</v>
      </c>
      <c r="K33" s="272" t="s">
        <v>1438</v>
      </c>
      <c r="L33" s="269" t="s">
        <v>1352</v>
      </c>
      <c r="M33" s="270" t="s">
        <v>1353</v>
      </c>
      <c r="N33" s="308" t="s">
        <v>1493</v>
      </c>
      <c r="O33" s="394"/>
      <c r="P33" s="285"/>
      <c r="Q33" s="344"/>
      <c r="R33" s="395"/>
      <c r="S33" s="348"/>
      <c r="T33" s="110"/>
    </row>
    <row r="34" spans="1:20" ht="47" customHeight="1" thickBot="1">
      <c r="A34" s="269" t="s">
        <v>1228</v>
      </c>
      <c r="B34" s="270" t="s">
        <v>937</v>
      </c>
      <c r="C34" s="209" t="s">
        <v>1230</v>
      </c>
      <c r="D34" s="209" t="s">
        <v>1231</v>
      </c>
      <c r="E34" s="209" t="s">
        <v>1232</v>
      </c>
      <c r="F34" s="270" t="s">
        <v>1431</v>
      </c>
      <c r="G34" s="270" t="s">
        <v>924</v>
      </c>
      <c r="H34" s="270" t="s">
        <v>4</v>
      </c>
      <c r="I34" s="111" t="s">
        <v>1238</v>
      </c>
      <c r="J34" s="114" t="s">
        <v>1236</v>
      </c>
      <c r="K34" s="318" t="s">
        <v>1466</v>
      </c>
      <c r="L34" s="269" t="s">
        <v>1236</v>
      </c>
      <c r="M34" s="270" t="s">
        <v>1237</v>
      </c>
      <c r="N34" s="318" t="s">
        <v>1494</v>
      </c>
      <c r="O34" s="272" t="s">
        <v>1026</v>
      </c>
      <c r="P34" s="285"/>
      <c r="Q34" s="284" t="s">
        <v>1114</v>
      </c>
      <c r="R34" s="275" t="s">
        <v>1185</v>
      </c>
      <c r="S34" s="281" t="s">
        <v>1229</v>
      </c>
      <c r="T34" s="110"/>
    </row>
    <row r="35" spans="1:20" ht="31" customHeight="1">
      <c r="A35" s="376" t="s">
        <v>299</v>
      </c>
      <c r="B35" s="373" t="s">
        <v>937</v>
      </c>
      <c r="C35" s="345" t="s">
        <v>936</v>
      </c>
      <c r="D35" s="345" t="s">
        <v>1136</v>
      </c>
      <c r="E35" s="345" t="s">
        <v>1137</v>
      </c>
      <c r="F35" s="373" t="s">
        <v>938</v>
      </c>
      <c r="G35" s="373" t="s">
        <v>924</v>
      </c>
      <c r="H35" s="260" t="s">
        <v>251</v>
      </c>
      <c r="I35" s="247" t="s">
        <v>696</v>
      </c>
      <c r="J35" s="316" t="s">
        <v>507</v>
      </c>
      <c r="K35" s="323" t="s">
        <v>1298</v>
      </c>
      <c r="L35" s="286" t="s">
        <v>507</v>
      </c>
      <c r="M35" s="260" t="s">
        <v>514</v>
      </c>
      <c r="N35" s="305" t="s">
        <v>1495</v>
      </c>
      <c r="O35" s="368" t="s">
        <v>1026</v>
      </c>
      <c r="P35" s="82" t="s">
        <v>663</v>
      </c>
      <c r="Q35" s="343" t="s">
        <v>1114</v>
      </c>
      <c r="R35" s="370" t="s">
        <v>935</v>
      </c>
      <c r="S35" s="414" t="s">
        <v>1018</v>
      </c>
      <c r="T35" s="110"/>
    </row>
    <row r="36" spans="1:20" ht="41" customHeight="1">
      <c r="A36" s="377"/>
      <c r="B36" s="374"/>
      <c r="C36" s="384"/>
      <c r="D36" s="384"/>
      <c r="E36" s="384"/>
      <c r="F36" s="374"/>
      <c r="G36" s="374"/>
      <c r="H36" s="110" t="s">
        <v>2</v>
      </c>
      <c r="I36" s="249" t="s">
        <v>697</v>
      </c>
      <c r="J36" s="114" t="s">
        <v>508</v>
      </c>
      <c r="K36" s="307" t="s">
        <v>1467</v>
      </c>
      <c r="L36" s="265" t="s">
        <v>508</v>
      </c>
      <c r="M36" s="110" t="s">
        <v>515</v>
      </c>
      <c r="N36" s="307" t="s">
        <v>1496</v>
      </c>
      <c r="O36" s="367"/>
      <c r="P36" s="80" t="s">
        <v>663</v>
      </c>
      <c r="Q36" s="369"/>
      <c r="R36" s="408"/>
      <c r="S36" s="372"/>
      <c r="T36" s="110"/>
    </row>
    <row r="37" spans="1:20" ht="18" customHeight="1">
      <c r="A37" s="377"/>
      <c r="B37" s="374"/>
      <c r="C37" s="384"/>
      <c r="D37" s="384"/>
      <c r="E37" s="384"/>
      <c r="F37" s="374"/>
      <c r="G37" s="374"/>
      <c r="H37" s="110" t="s">
        <v>300</v>
      </c>
      <c r="I37" s="249" t="s">
        <v>698</v>
      </c>
      <c r="J37" s="114" t="s">
        <v>509</v>
      </c>
      <c r="K37" s="307" t="s">
        <v>1468</v>
      </c>
      <c r="L37" s="265" t="s">
        <v>509</v>
      </c>
      <c r="M37" s="110" t="s">
        <v>516</v>
      </c>
      <c r="N37" s="307" t="s">
        <v>1497</v>
      </c>
      <c r="O37" s="367"/>
      <c r="P37" s="80" t="s">
        <v>663</v>
      </c>
      <c r="Q37" s="369"/>
      <c r="R37" s="408"/>
      <c r="S37" s="372"/>
      <c r="T37" s="110"/>
    </row>
    <row r="38" spans="1:20" ht="46" customHeight="1">
      <c r="A38" s="377"/>
      <c r="B38" s="374"/>
      <c r="C38" s="384"/>
      <c r="D38" s="384"/>
      <c r="E38" s="384"/>
      <c r="F38" s="374"/>
      <c r="G38" s="374"/>
      <c r="H38" s="110" t="s">
        <v>301</v>
      </c>
      <c r="I38" s="249" t="s">
        <v>699</v>
      </c>
      <c r="J38" s="114" t="s">
        <v>510</v>
      </c>
      <c r="K38" s="307" t="s">
        <v>1469</v>
      </c>
      <c r="L38" s="265" t="s">
        <v>510</v>
      </c>
      <c r="M38" s="110" t="s">
        <v>517</v>
      </c>
      <c r="N38" s="307" t="s">
        <v>193</v>
      </c>
      <c r="O38" s="367"/>
      <c r="P38" s="80" t="s">
        <v>663</v>
      </c>
      <c r="Q38" s="369"/>
      <c r="R38" s="408"/>
      <c r="S38" s="372"/>
      <c r="T38" s="110"/>
    </row>
    <row r="39" spans="1:20" ht="50" customHeight="1">
      <c r="A39" s="377"/>
      <c r="B39" s="374"/>
      <c r="C39" s="384"/>
      <c r="D39" s="384"/>
      <c r="E39" s="384"/>
      <c r="F39" s="374"/>
      <c r="G39" s="374"/>
      <c r="H39" s="110" t="s">
        <v>1</v>
      </c>
      <c r="I39" s="249" t="s">
        <v>701</v>
      </c>
      <c r="J39" s="114" t="s">
        <v>512</v>
      </c>
      <c r="K39" s="324" t="s">
        <v>1298</v>
      </c>
      <c r="L39" s="265" t="s">
        <v>512</v>
      </c>
      <c r="M39" s="110" t="s">
        <v>519</v>
      </c>
      <c r="N39" s="307" t="s">
        <v>1498</v>
      </c>
      <c r="O39" s="367"/>
      <c r="P39" s="80" t="s">
        <v>663</v>
      </c>
      <c r="Q39" s="369"/>
      <c r="R39" s="408"/>
      <c r="S39" s="372"/>
      <c r="T39" s="110"/>
    </row>
    <row r="40" spans="1:20" ht="26" customHeight="1" thickBot="1">
      <c r="A40" s="378"/>
      <c r="B40" s="375"/>
      <c r="C40" s="346"/>
      <c r="D40" s="346"/>
      <c r="E40" s="346"/>
      <c r="F40" s="375"/>
      <c r="G40" s="375"/>
      <c r="H40" s="270" t="s">
        <v>5</v>
      </c>
      <c r="I40" s="249" t="s">
        <v>702</v>
      </c>
      <c r="J40" s="114" t="s">
        <v>513</v>
      </c>
      <c r="K40" s="322" t="s">
        <v>38</v>
      </c>
      <c r="L40" s="269" t="s">
        <v>513</v>
      </c>
      <c r="M40" s="270" t="s">
        <v>520</v>
      </c>
      <c r="N40" s="308" t="s">
        <v>1495</v>
      </c>
      <c r="O40" s="394"/>
      <c r="P40" s="83" t="s">
        <v>663</v>
      </c>
      <c r="Q40" s="344"/>
      <c r="R40" s="413"/>
      <c r="S40" s="348"/>
      <c r="T40" s="115"/>
    </row>
    <row r="41" spans="1:20" ht="33" customHeight="1">
      <c r="A41" s="376" t="s">
        <v>987</v>
      </c>
      <c r="B41" s="373" t="s">
        <v>926</v>
      </c>
      <c r="C41" s="345" t="s">
        <v>1140</v>
      </c>
      <c r="D41" s="345" t="s">
        <v>1142</v>
      </c>
      <c r="E41" s="345" t="s">
        <v>1141</v>
      </c>
      <c r="F41" s="373" t="s">
        <v>988</v>
      </c>
      <c r="G41" s="373" t="s">
        <v>904</v>
      </c>
      <c r="H41" s="260" t="s">
        <v>4</v>
      </c>
      <c r="I41" s="201" t="s">
        <v>989</v>
      </c>
      <c r="J41" s="215" t="s">
        <v>991</v>
      </c>
      <c r="K41" s="305" t="s">
        <v>1470</v>
      </c>
      <c r="L41" s="259" t="s">
        <v>1432</v>
      </c>
      <c r="M41" s="260" t="s">
        <v>1434</v>
      </c>
      <c r="N41" s="305" t="s">
        <v>1455</v>
      </c>
      <c r="O41" s="368" t="s">
        <v>1026</v>
      </c>
      <c r="P41" s="278" t="s">
        <v>469</v>
      </c>
      <c r="Q41" s="356" t="s">
        <v>1114</v>
      </c>
      <c r="R41" s="362" t="s">
        <v>993</v>
      </c>
      <c r="S41" s="411" t="s">
        <v>994</v>
      </c>
      <c r="T41" s="115"/>
    </row>
    <row r="42" spans="1:20" ht="30" customHeight="1" thickBot="1">
      <c r="A42" s="378"/>
      <c r="B42" s="375"/>
      <c r="C42" s="346"/>
      <c r="D42" s="346"/>
      <c r="E42" s="346"/>
      <c r="F42" s="375"/>
      <c r="G42" s="375"/>
      <c r="H42" s="270" t="s">
        <v>98</v>
      </c>
      <c r="I42" s="205" t="s">
        <v>990</v>
      </c>
      <c r="J42" s="224" t="s">
        <v>992</v>
      </c>
      <c r="K42" s="308" t="s">
        <v>1471</v>
      </c>
      <c r="L42" s="269" t="s">
        <v>1433</v>
      </c>
      <c r="M42" s="270" t="s">
        <v>1435</v>
      </c>
      <c r="N42" s="308" t="s">
        <v>1499</v>
      </c>
      <c r="O42" s="394"/>
      <c r="P42" s="285" t="s">
        <v>469</v>
      </c>
      <c r="Q42" s="358"/>
      <c r="R42" s="395"/>
      <c r="S42" s="412"/>
      <c r="T42" s="115"/>
    </row>
    <row r="43" spans="1:20" ht="27" customHeight="1">
      <c r="A43" s="337" t="s">
        <v>1402</v>
      </c>
      <c r="B43" s="345" t="s">
        <v>1024</v>
      </c>
      <c r="C43" s="345" t="s">
        <v>1403</v>
      </c>
      <c r="D43" s="345" t="s">
        <v>1404</v>
      </c>
      <c r="E43" s="345" t="s">
        <v>1405</v>
      </c>
      <c r="F43" s="343" t="s">
        <v>1438</v>
      </c>
      <c r="G43" s="345" t="s">
        <v>1438</v>
      </c>
      <c r="H43" s="200" t="s">
        <v>4</v>
      </c>
      <c r="I43" s="201" t="s">
        <v>1407</v>
      </c>
      <c r="J43" s="215" t="s">
        <v>1406</v>
      </c>
      <c r="K43" s="323" t="s">
        <v>1298</v>
      </c>
      <c r="L43" s="265" t="s">
        <v>1438</v>
      </c>
      <c r="M43" s="215" t="s">
        <v>1438</v>
      </c>
      <c r="N43" s="307" t="s">
        <v>1438</v>
      </c>
      <c r="O43" s="355" t="s">
        <v>1026</v>
      </c>
      <c r="P43" s="349" t="s">
        <v>1114</v>
      </c>
      <c r="Q43" s="349" t="s">
        <v>1114</v>
      </c>
      <c r="R43" s="351" t="s">
        <v>1410</v>
      </c>
      <c r="S43" s="353" t="s">
        <v>1411</v>
      </c>
      <c r="T43" s="115"/>
    </row>
    <row r="44" spans="1:20" ht="30" customHeight="1" thickBot="1">
      <c r="A44" s="338"/>
      <c r="B44" s="346"/>
      <c r="C44" s="346"/>
      <c r="D44" s="346"/>
      <c r="E44" s="346"/>
      <c r="F44" s="344"/>
      <c r="G44" s="346"/>
      <c r="H44" s="225" t="s">
        <v>5</v>
      </c>
      <c r="I44" s="205" t="s">
        <v>1409</v>
      </c>
      <c r="J44" s="224" t="s">
        <v>1408</v>
      </c>
      <c r="K44" s="322" t="s">
        <v>1298</v>
      </c>
      <c r="L44" s="265" t="s">
        <v>1438</v>
      </c>
      <c r="M44" s="225" t="s">
        <v>1438</v>
      </c>
      <c r="N44" s="307" t="s">
        <v>1438</v>
      </c>
      <c r="O44" s="354"/>
      <c r="P44" s="350"/>
      <c r="Q44" s="350"/>
      <c r="R44" s="352"/>
      <c r="S44" s="354"/>
      <c r="T44" s="115"/>
    </row>
    <row r="45" spans="1:20" ht="42" customHeight="1">
      <c r="A45" s="382" t="s">
        <v>270</v>
      </c>
      <c r="B45" s="373" t="s">
        <v>1028</v>
      </c>
      <c r="C45" s="345" t="s">
        <v>928</v>
      </c>
      <c r="D45" s="345" t="s">
        <v>1147</v>
      </c>
      <c r="E45" s="345" t="s">
        <v>1146</v>
      </c>
      <c r="F45" s="373" t="s">
        <v>922</v>
      </c>
      <c r="G45" s="373" t="s">
        <v>924</v>
      </c>
      <c r="H45" s="279" t="s">
        <v>97</v>
      </c>
      <c r="I45" s="247" t="s">
        <v>704</v>
      </c>
      <c r="J45" s="246" t="s">
        <v>707</v>
      </c>
      <c r="K45" s="323" t="s">
        <v>1472</v>
      </c>
      <c r="L45" s="259" t="s">
        <v>641</v>
      </c>
      <c r="M45" s="260" t="s">
        <v>645</v>
      </c>
      <c r="N45" s="305" t="s">
        <v>1500</v>
      </c>
      <c r="O45" s="368" t="s">
        <v>1150</v>
      </c>
      <c r="P45" s="82" t="s">
        <v>482</v>
      </c>
      <c r="Q45" s="343" t="s">
        <v>1114</v>
      </c>
      <c r="R45" s="370" t="s">
        <v>923</v>
      </c>
      <c r="S45" s="347" t="s">
        <v>1020</v>
      </c>
      <c r="T45" s="115"/>
    </row>
    <row r="46" spans="1:20" ht="49" customHeight="1" thickBot="1">
      <c r="A46" s="383"/>
      <c r="B46" s="374"/>
      <c r="C46" s="384"/>
      <c r="D46" s="384"/>
      <c r="E46" s="384"/>
      <c r="F46" s="374"/>
      <c r="G46" s="374"/>
      <c r="H46" s="283" t="s">
        <v>5</v>
      </c>
      <c r="I46" s="256" t="s">
        <v>705</v>
      </c>
      <c r="J46" s="251" t="s">
        <v>709</v>
      </c>
      <c r="K46" s="308" t="s">
        <v>1473</v>
      </c>
      <c r="L46" s="265" t="s">
        <v>643</v>
      </c>
      <c r="M46" s="110" t="s">
        <v>647</v>
      </c>
      <c r="N46" s="308" t="s">
        <v>1501</v>
      </c>
      <c r="O46" s="410"/>
      <c r="P46" s="80" t="s">
        <v>482</v>
      </c>
      <c r="Q46" s="369"/>
      <c r="R46" s="371"/>
      <c r="S46" s="372"/>
      <c r="T46" s="115"/>
    </row>
    <row r="47" spans="1:20" ht="16" customHeight="1">
      <c r="A47" s="382" t="s">
        <v>286</v>
      </c>
      <c r="B47" s="356" t="s">
        <v>1098</v>
      </c>
      <c r="C47" s="356" t="s">
        <v>1097</v>
      </c>
      <c r="D47" s="356" t="s">
        <v>1446</v>
      </c>
      <c r="E47" s="373" t="s">
        <v>1447</v>
      </c>
      <c r="F47" s="373" t="s">
        <v>1207</v>
      </c>
      <c r="G47" s="373" t="s">
        <v>939</v>
      </c>
      <c r="H47" s="279" t="s">
        <v>2</v>
      </c>
      <c r="I47" s="288" t="s">
        <v>1438</v>
      </c>
      <c r="J47" s="283" t="s">
        <v>1438</v>
      </c>
      <c r="K47" s="282" t="s">
        <v>1438</v>
      </c>
      <c r="L47" s="259" t="s">
        <v>521</v>
      </c>
      <c r="M47" s="260" t="s">
        <v>531</v>
      </c>
      <c r="N47" s="323" t="s">
        <v>1298</v>
      </c>
      <c r="O47" s="368" t="s">
        <v>1208</v>
      </c>
      <c r="P47" s="84" t="s">
        <v>728</v>
      </c>
      <c r="Q47" s="405" t="s">
        <v>1114</v>
      </c>
      <c r="R47" s="370" t="s">
        <v>934</v>
      </c>
      <c r="S47" s="396" t="s">
        <v>933</v>
      </c>
      <c r="T47" s="115"/>
    </row>
    <row r="48" spans="1:20" ht="18" customHeight="1">
      <c r="A48" s="383"/>
      <c r="B48" s="357"/>
      <c r="C48" s="357"/>
      <c r="D48" s="357"/>
      <c r="E48" s="374"/>
      <c r="F48" s="374"/>
      <c r="G48" s="374"/>
      <c r="H48" s="283" t="s">
        <v>3</v>
      </c>
      <c r="I48" s="288" t="s">
        <v>1438</v>
      </c>
      <c r="J48" s="283" t="s">
        <v>1438</v>
      </c>
      <c r="K48" s="282" t="s">
        <v>1438</v>
      </c>
      <c r="L48" s="265" t="s">
        <v>522</v>
      </c>
      <c r="M48" s="110" t="s">
        <v>532</v>
      </c>
      <c r="N48" s="324" t="s">
        <v>1298</v>
      </c>
      <c r="O48" s="367"/>
      <c r="P48" s="81" t="s">
        <v>728</v>
      </c>
      <c r="Q48" s="406"/>
      <c r="R48" s="408"/>
      <c r="S48" s="409"/>
      <c r="T48" s="115"/>
    </row>
    <row r="49" spans="1:20" ht="19" customHeight="1">
      <c r="A49" s="383"/>
      <c r="B49" s="357"/>
      <c r="C49" s="357"/>
      <c r="D49" s="357"/>
      <c r="E49" s="374"/>
      <c r="F49" s="374"/>
      <c r="G49" s="374"/>
      <c r="H49" s="283" t="s">
        <v>117</v>
      </c>
      <c r="I49" s="288" t="s">
        <v>1438</v>
      </c>
      <c r="J49" s="283" t="s">
        <v>1438</v>
      </c>
      <c r="K49" s="282" t="s">
        <v>1438</v>
      </c>
      <c r="L49" s="265" t="s">
        <v>523</v>
      </c>
      <c r="M49" s="110" t="s">
        <v>533</v>
      </c>
      <c r="N49" s="324" t="s">
        <v>1298</v>
      </c>
      <c r="O49" s="367"/>
      <c r="P49" s="81" t="s">
        <v>728</v>
      </c>
      <c r="Q49" s="406"/>
      <c r="R49" s="408"/>
      <c r="S49" s="409"/>
      <c r="T49" s="115"/>
    </row>
    <row r="50" spans="1:20" ht="19" customHeight="1">
      <c r="A50" s="383"/>
      <c r="B50" s="357"/>
      <c r="C50" s="357"/>
      <c r="D50" s="357"/>
      <c r="E50" s="374"/>
      <c r="F50" s="374"/>
      <c r="G50" s="374"/>
      <c r="H50" s="283" t="s">
        <v>98</v>
      </c>
      <c r="I50" s="288" t="s">
        <v>1438</v>
      </c>
      <c r="J50" s="283" t="s">
        <v>1438</v>
      </c>
      <c r="K50" s="282" t="s">
        <v>1438</v>
      </c>
      <c r="L50" s="265" t="s">
        <v>524</v>
      </c>
      <c r="M50" s="110" t="s">
        <v>534</v>
      </c>
      <c r="N50" s="324" t="s">
        <v>1298</v>
      </c>
      <c r="O50" s="367"/>
      <c r="P50" s="81" t="s">
        <v>728</v>
      </c>
      <c r="Q50" s="406"/>
      <c r="R50" s="408"/>
      <c r="S50" s="409"/>
      <c r="T50" s="115"/>
    </row>
    <row r="51" spans="1:20" ht="23" customHeight="1">
      <c r="A51" s="383"/>
      <c r="B51" s="357"/>
      <c r="C51" s="357"/>
      <c r="D51" s="357"/>
      <c r="E51" s="374"/>
      <c r="F51" s="374"/>
      <c r="G51" s="374"/>
      <c r="H51" s="283" t="s">
        <v>287</v>
      </c>
      <c r="I51" s="288" t="s">
        <v>1438</v>
      </c>
      <c r="J51" s="283" t="s">
        <v>1438</v>
      </c>
      <c r="K51" s="282" t="s">
        <v>1438</v>
      </c>
      <c r="L51" s="265" t="s">
        <v>525</v>
      </c>
      <c r="M51" s="110" t="s">
        <v>535</v>
      </c>
      <c r="N51" s="307" t="s">
        <v>1502</v>
      </c>
      <c r="O51" s="367"/>
      <c r="P51" s="81" t="s">
        <v>728</v>
      </c>
      <c r="Q51" s="406"/>
      <c r="R51" s="408"/>
      <c r="S51" s="409"/>
      <c r="T51" s="115"/>
    </row>
    <row r="52" spans="1:20" ht="19" customHeight="1">
      <c r="A52" s="383"/>
      <c r="B52" s="357"/>
      <c r="C52" s="357"/>
      <c r="D52" s="357"/>
      <c r="E52" s="374"/>
      <c r="F52" s="374"/>
      <c r="G52" s="374"/>
      <c r="H52" s="283" t="s">
        <v>121</v>
      </c>
      <c r="I52" s="288" t="s">
        <v>1438</v>
      </c>
      <c r="J52" s="283" t="s">
        <v>1438</v>
      </c>
      <c r="K52" s="282" t="s">
        <v>1438</v>
      </c>
      <c r="L52" s="265" t="s">
        <v>526</v>
      </c>
      <c r="M52" s="110" t="s">
        <v>536</v>
      </c>
      <c r="N52" s="324" t="s">
        <v>1503</v>
      </c>
      <c r="O52" s="367"/>
      <c r="P52" s="81" t="s">
        <v>728</v>
      </c>
      <c r="Q52" s="406"/>
      <c r="R52" s="408"/>
      <c r="S52" s="409"/>
      <c r="T52" s="115"/>
    </row>
    <row r="53" spans="1:20" ht="17" customHeight="1">
      <c r="A53" s="383"/>
      <c r="B53" s="357"/>
      <c r="C53" s="357"/>
      <c r="D53" s="357"/>
      <c r="E53" s="374"/>
      <c r="F53" s="374"/>
      <c r="G53" s="374"/>
      <c r="H53" s="283" t="s">
        <v>1</v>
      </c>
      <c r="I53" s="288" t="s">
        <v>1438</v>
      </c>
      <c r="J53" s="283" t="s">
        <v>1438</v>
      </c>
      <c r="K53" s="282" t="s">
        <v>1438</v>
      </c>
      <c r="L53" s="265" t="s">
        <v>528</v>
      </c>
      <c r="M53" s="110" t="s">
        <v>538</v>
      </c>
      <c r="N53" s="324" t="s">
        <v>1298</v>
      </c>
      <c r="O53" s="367"/>
      <c r="P53" s="81" t="s">
        <v>728</v>
      </c>
      <c r="Q53" s="406"/>
      <c r="R53" s="408"/>
      <c r="S53" s="409"/>
      <c r="T53" s="115"/>
    </row>
    <row r="54" spans="1:20" ht="22" customHeight="1" thickBot="1">
      <c r="A54" s="383"/>
      <c r="B54" s="357"/>
      <c r="C54" s="357"/>
      <c r="D54" s="358"/>
      <c r="E54" s="375"/>
      <c r="F54" s="374"/>
      <c r="G54" s="375"/>
      <c r="H54" s="283" t="s">
        <v>5</v>
      </c>
      <c r="I54" s="288" t="s">
        <v>1438</v>
      </c>
      <c r="J54" s="283" t="s">
        <v>1438</v>
      </c>
      <c r="K54" s="282" t="s">
        <v>1438</v>
      </c>
      <c r="L54" s="265" t="s">
        <v>529</v>
      </c>
      <c r="M54" s="110" t="s">
        <v>539</v>
      </c>
      <c r="N54" s="322" t="s">
        <v>1504</v>
      </c>
      <c r="O54" s="394"/>
      <c r="P54" s="81" t="s">
        <v>728</v>
      </c>
      <c r="Q54" s="407"/>
      <c r="R54" s="408"/>
      <c r="S54" s="409"/>
      <c r="T54" s="115"/>
    </row>
    <row r="55" spans="1:20" ht="26" customHeight="1">
      <c r="A55" s="376" t="s">
        <v>41</v>
      </c>
      <c r="B55" s="373" t="s">
        <v>1096</v>
      </c>
      <c r="C55" s="373" t="s">
        <v>894</v>
      </c>
      <c r="D55" s="373" t="s">
        <v>1448</v>
      </c>
      <c r="E55" s="373" t="s">
        <v>1449</v>
      </c>
      <c r="F55" s="373" t="s">
        <v>1194</v>
      </c>
      <c r="G55" s="373" t="s">
        <v>1182</v>
      </c>
      <c r="H55" s="260" t="s">
        <v>315</v>
      </c>
      <c r="I55" s="259" t="s">
        <v>1438</v>
      </c>
      <c r="J55" s="260" t="s">
        <v>1438</v>
      </c>
      <c r="K55" s="262" t="s">
        <v>1438</v>
      </c>
      <c r="L55" s="259" t="s">
        <v>51</v>
      </c>
      <c r="M55" s="260" t="s">
        <v>73</v>
      </c>
      <c r="N55" s="305" t="s">
        <v>1505</v>
      </c>
      <c r="O55" s="368" t="s">
        <v>1190</v>
      </c>
      <c r="P55" s="278" t="s">
        <v>660</v>
      </c>
      <c r="Q55" s="356" t="s">
        <v>1191</v>
      </c>
      <c r="R55" s="362" t="s">
        <v>892</v>
      </c>
      <c r="S55" s="365" t="s">
        <v>891</v>
      </c>
      <c r="T55" s="115"/>
    </row>
    <row r="56" spans="1:20" ht="15" customHeight="1">
      <c r="A56" s="377"/>
      <c r="B56" s="374"/>
      <c r="C56" s="374"/>
      <c r="D56" s="374"/>
      <c r="E56" s="374"/>
      <c r="F56" s="374"/>
      <c r="G56" s="374"/>
      <c r="H56" s="110" t="s">
        <v>300</v>
      </c>
      <c r="I56" s="265" t="s">
        <v>1438</v>
      </c>
      <c r="J56" s="110" t="s">
        <v>1438</v>
      </c>
      <c r="K56" s="267" t="s">
        <v>1438</v>
      </c>
      <c r="L56" s="265" t="s">
        <v>53</v>
      </c>
      <c r="M56" s="110" t="s">
        <v>75</v>
      </c>
      <c r="N56" s="324" t="s">
        <v>1506</v>
      </c>
      <c r="O56" s="367"/>
      <c r="P56" s="115" t="s">
        <v>660</v>
      </c>
      <c r="Q56" s="357"/>
      <c r="R56" s="363"/>
      <c r="S56" s="367"/>
      <c r="T56" s="115"/>
    </row>
    <row r="57" spans="1:20" ht="19" customHeight="1">
      <c r="A57" s="377"/>
      <c r="B57" s="374"/>
      <c r="C57" s="374"/>
      <c r="D57" s="374"/>
      <c r="E57" s="374"/>
      <c r="F57" s="374"/>
      <c r="G57" s="374"/>
      <c r="H57" s="110" t="s">
        <v>413</v>
      </c>
      <c r="I57" s="265" t="s">
        <v>1438</v>
      </c>
      <c r="J57" s="110" t="s">
        <v>1438</v>
      </c>
      <c r="K57" s="267" t="s">
        <v>1438</v>
      </c>
      <c r="L57" s="265" t="s">
        <v>54</v>
      </c>
      <c r="M57" s="110" t="s">
        <v>76</v>
      </c>
      <c r="N57" s="324" t="s">
        <v>1298</v>
      </c>
      <c r="O57" s="367"/>
      <c r="P57" s="115" t="s">
        <v>660</v>
      </c>
      <c r="Q57" s="357"/>
      <c r="R57" s="363"/>
      <c r="S57" s="367"/>
      <c r="T57" s="115"/>
    </row>
    <row r="58" spans="1:20" ht="18" customHeight="1">
      <c r="A58" s="377"/>
      <c r="B58" s="374"/>
      <c r="C58" s="374"/>
      <c r="D58" s="374"/>
      <c r="E58" s="374"/>
      <c r="F58" s="374"/>
      <c r="G58" s="374"/>
      <c r="H58" s="110" t="s">
        <v>414</v>
      </c>
      <c r="I58" s="265" t="s">
        <v>1438</v>
      </c>
      <c r="J58" s="110" t="s">
        <v>1438</v>
      </c>
      <c r="K58" s="267" t="s">
        <v>1438</v>
      </c>
      <c r="L58" s="265" t="s">
        <v>55</v>
      </c>
      <c r="M58" s="110" t="s">
        <v>77</v>
      </c>
      <c r="N58" s="307" t="s">
        <v>1507</v>
      </c>
      <c r="O58" s="367"/>
      <c r="P58" s="115" t="s">
        <v>660</v>
      </c>
      <c r="Q58" s="357"/>
      <c r="R58" s="363"/>
      <c r="S58" s="367"/>
      <c r="T58" s="115"/>
    </row>
    <row r="59" spans="1:20" ht="17" customHeight="1">
      <c r="A59" s="377"/>
      <c r="B59" s="374"/>
      <c r="C59" s="374"/>
      <c r="D59" s="374"/>
      <c r="E59" s="374"/>
      <c r="F59" s="374"/>
      <c r="G59" s="374"/>
      <c r="H59" s="110" t="s">
        <v>263</v>
      </c>
      <c r="I59" s="265" t="s">
        <v>1438</v>
      </c>
      <c r="J59" s="110" t="s">
        <v>1438</v>
      </c>
      <c r="K59" s="267" t="s">
        <v>1438</v>
      </c>
      <c r="L59" s="265" t="s">
        <v>56</v>
      </c>
      <c r="M59" s="110" t="s">
        <v>78</v>
      </c>
      <c r="N59" s="307" t="s">
        <v>1508</v>
      </c>
      <c r="O59" s="367"/>
      <c r="P59" s="115" t="s">
        <v>660</v>
      </c>
      <c r="Q59" s="357"/>
      <c r="R59" s="363"/>
      <c r="S59" s="367"/>
      <c r="T59" s="115"/>
    </row>
    <row r="60" spans="1:20" ht="20" customHeight="1">
      <c r="A60" s="377"/>
      <c r="B60" s="374"/>
      <c r="C60" s="374"/>
      <c r="D60" s="374"/>
      <c r="E60" s="374"/>
      <c r="F60" s="374"/>
      <c r="G60" s="374"/>
      <c r="H60" s="110" t="s">
        <v>98</v>
      </c>
      <c r="I60" s="265" t="s">
        <v>1438</v>
      </c>
      <c r="J60" s="110" t="s">
        <v>1438</v>
      </c>
      <c r="K60" s="267" t="s">
        <v>1438</v>
      </c>
      <c r="L60" s="265" t="s">
        <v>58</v>
      </c>
      <c r="M60" s="110" t="s">
        <v>80</v>
      </c>
      <c r="N60" s="307" t="s">
        <v>1509</v>
      </c>
      <c r="O60" s="367"/>
      <c r="P60" s="115" t="s">
        <v>660</v>
      </c>
      <c r="Q60" s="357"/>
      <c r="R60" s="363"/>
      <c r="S60" s="367"/>
      <c r="T60" s="115"/>
    </row>
    <row r="61" spans="1:20" ht="24" customHeight="1">
      <c r="A61" s="377"/>
      <c r="B61" s="374"/>
      <c r="C61" s="374"/>
      <c r="D61" s="374"/>
      <c r="E61" s="374"/>
      <c r="F61" s="374"/>
      <c r="G61" s="374"/>
      <c r="H61" s="110" t="s">
        <v>410</v>
      </c>
      <c r="I61" s="265" t="s">
        <v>1438</v>
      </c>
      <c r="J61" s="110" t="s">
        <v>1438</v>
      </c>
      <c r="K61" s="267" t="s">
        <v>1438</v>
      </c>
      <c r="L61" s="265" t="s">
        <v>49</v>
      </c>
      <c r="M61" s="110" t="s">
        <v>71</v>
      </c>
      <c r="N61" s="324" t="s">
        <v>1506</v>
      </c>
      <c r="O61" s="367"/>
      <c r="P61" s="115" t="s">
        <v>660</v>
      </c>
      <c r="Q61" s="357"/>
      <c r="R61" s="363"/>
      <c r="S61" s="367"/>
      <c r="T61" s="115"/>
    </row>
    <row r="62" spans="1:20" ht="25" customHeight="1">
      <c r="A62" s="377"/>
      <c r="B62" s="374"/>
      <c r="C62" s="374"/>
      <c r="D62" s="374"/>
      <c r="E62" s="374"/>
      <c r="F62" s="374"/>
      <c r="G62" s="374"/>
      <c r="H62" s="110" t="s">
        <v>1</v>
      </c>
      <c r="I62" s="265" t="s">
        <v>1438</v>
      </c>
      <c r="J62" s="110" t="s">
        <v>1438</v>
      </c>
      <c r="K62" s="267" t="s">
        <v>1438</v>
      </c>
      <c r="L62" s="265" t="s">
        <v>48</v>
      </c>
      <c r="M62" s="110" t="s">
        <v>70</v>
      </c>
      <c r="N62" s="324" t="s">
        <v>1298</v>
      </c>
      <c r="O62" s="367"/>
      <c r="P62" s="115" t="s">
        <v>660</v>
      </c>
      <c r="Q62" s="357"/>
      <c r="R62" s="363"/>
      <c r="S62" s="367"/>
      <c r="T62" s="115"/>
    </row>
    <row r="63" spans="1:20" ht="29" customHeight="1" thickBot="1">
      <c r="A63" s="378"/>
      <c r="B63" s="375"/>
      <c r="C63" s="375"/>
      <c r="D63" s="375"/>
      <c r="E63" s="375"/>
      <c r="F63" s="375"/>
      <c r="G63" s="375"/>
      <c r="H63" s="270" t="s">
        <v>5</v>
      </c>
      <c r="I63" s="269" t="s">
        <v>1438</v>
      </c>
      <c r="J63" s="270" t="s">
        <v>1438</v>
      </c>
      <c r="K63" s="272" t="s">
        <v>1438</v>
      </c>
      <c r="L63" s="269" t="s">
        <v>63</v>
      </c>
      <c r="M63" s="270" t="s">
        <v>85</v>
      </c>
      <c r="N63" s="308" t="s">
        <v>1510</v>
      </c>
      <c r="O63" s="394"/>
      <c r="P63" s="285" t="s">
        <v>660</v>
      </c>
      <c r="Q63" s="358"/>
      <c r="R63" s="395"/>
      <c r="S63" s="394"/>
      <c r="T63" s="115"/>
    </row>
    <row r="64" spans="1:20" ht="30" customHeight="1">
      <c r="A64" s="376" t="s">
        <v>95</v>
      </c>
      <c r="B64" s="373" t="s">
        <v>1196</v>
      </c>
      <c r="C64" s="373" t="s">
        <v>898</v>
      </c>
      <c r="D64" s="373" t="s">
        <v>1450</v>
      </c>
      <c r="E64" s="373" t="s">
        <v>1451</v>
      </c>
      <c r="F64" s="373" t="s">
        <v>1198</v>
      </c>
      <c r="G64" s="373" t="s">
        <v>897</v>
      </c>
      <c r="H64" s="260" t="s">
        <v>2</v>
      </c>
      <c r="I64" s="265" t="s">
        <v>1438</v>
      </c>
      <c r="J64" s="110" t="s">
        <v>1438</v>
      </c>
      <c r="K64" s="267" t="s">
        <v>1438</v>
      </c>
      <c r="L64" s="259" t="s">
        <v>100</v>
      </c>
      <c r="M64" s="260" t="s">
        <v>106</v>
      </c>
      <c r="N64" s="305" t="s">
        <v>1511</v>
      </c>
      <c r="O64" s="368" t="s">
        <v>1197</v>
      </c>
      <c r="P64" s="82" t="s">
        <v>474</v>
      </c>
      <c r="Q64" s="343" t="s">
        <v>1114</v>
      </c>
      <c r="R64" s="370" t="s">
        <v>895</v>
      </c>
      <c r="S64" s="347" t="s">
        <v>1088</v>
      </c>
      <c r="T64" s="115"/>
    </row>
    <row r="65" spans="1:20" ht="31" customHeight="1">
      <c r="A65" s="377"/>
      <c r="B65" s="374"/>
      <c r="C65" s="374"/>
      <c r="D65" s="374"/>
      <c r="E65" s="374"/>
      <c r="F65" s="374"/>
      <c r="G65" s="374"/>
      <c r="H65" s="110" t="s">
        <v>3</v>
      </c>
      <c r="I65" s="265" t="s">
        <v>1438</v>
      </c>
      <c r="J65" s="110" t="s">
        <v>1438</v>
      </c>
      <c r="K65" s="267" t="s">
        <v>1438</v>
      </c>
      <c r="L65" s="265" t="s">
        <v>101</v>
      </c>
      <c r="M65" s="110" t="s">
        <v>107</v>
      </c>
      <c r="N65" s="307" t="s">
        <v>1512</v>
      </c>
      <c r="O65" s="367"/>
      <c r="P65" s="80" t="s">
        <v>474</v>
      </c>
      <c r="Q65" s="369"/>
      <c r="R65" s="371"/>
      <c r="S65" s="372"/>
      <c r="T65" s="115"/>
    </row>
    <row r="66" spans="1:20" ht="28" customHeight="1">
      <c r="A66" s="377"/>
      <c r="B66" s="374"/>
      <c r="C66" s="374"/>
      <c r="D66" s="374"/>
      <c r="E66" s="374"/>
      <c r="F66" s="374"/>
      <c r="G66" s="374"/>
      <c r="H66" s="110" t="s">
        <v>4</v>
      </c>
      <c r="I66" s="265" t="s">
        <v>1438</v>
      </c>
      <c r="J66" s="110" t="s">
        <v>1438</v>
      </c>
      <c r="K66" s="267" t="s">
        <v>1438</v>
      </c>
      <c r="L66" s="265" t="s">
        <v>102</v>
      </c>
      <c r="M66" s="110" t="s">
        <v>108</v>
      </c>
      <c r="N66" s="307" t="s">
        <v>1513</v>
      </c>
      <c r="O66" s="367"/>
      <c r="P66" s="80" t="s">
        <v>474</v>
      </c>
      <c r="Q66" s="369"/>
      <c r="R66" s="371"/>
      <c r="S66" s="372"/>
      <c r="T66" s="115"/>
    </row>
    <row r="67" spans="1:20" ht="29" customHeight="1">
      <c r="A67" s="377"/>
      <c r="B67" s="374"/>
      <c r="C67" s="374"/>
      <c r="D67" s="374"/>
      <c r="E67" s="374"/>
      <c r="F67" s="374"/>
      <c r="G67" s="374"/>
      <c r="H67" s="110" t="s">
        <v>97</v>
      </c>
      <c r="I67" s="265" t="s">
        <v>1438</v>
      </c>
      <c r="J67" s="110" t="s">
        <v>1438</v>
      </c>
      <c r="K67" s="267" t="s">
        <v>1438</v>
      </c>
      <c r="L67" s="265" t="s">
        <v>103</v>
      </c>
      <c r="M67" s="110" t="s">
        <v>109</v>
      </c>
      <c r="N67" s="307" t="s">
        <v>1514</v>
      </c>
      <c r="O67" s="367"/>
      <c r="P67" s="80" t="s">
        <v>474</v>
      </c>
      <c r="Q67" s="369"/>
      <c r="R67" s="371"/>
      <c r="S67" s="372"/>
      <c r="T67" s="115"/>
    </row>
    <row r="68" spans="1:20" ht="17" customHeight="1">
      <c r="A68" s="377"/>
      <c r="B68" s="374"/>
      <c r="C68" s="374"/>
      <c r="D68" s="374"/>
      <c r="E68" s="374"/>
      <c r="F68" s="374"/>
      <c r="G68" s="374"/>
      <c r="H68" s="110" t="s">
        <v>98</v>
      </c>
      <c r="I68" s="265" t="s">
        <v>1438</v>
      </c>
      <c r="J68" s="110" t="s">
        <v>1438</v>
      </c>
      <c r="K68" s="267" t="s">
        <v>1438</v>
      </c>
      <c r="L68" s="265" t="s">
        <v>1429</v>
      </c>
      <c r="M68" s="110" t="s">
        <v>110</v>
      </c>
      <c r="N68" s="307" t="s">
        <v>1515</v>
      </c>
      <c r="O68" s="367"/>
      <c r="P68" s="80" t="s">
        <v>474</v>
      </c>
      <c r="Q68" s="369"/>
      <c r="R68" s="371"/>
      <c r="S68" s="372"/>
      <c r="T68" s="115"/>
    </row>
    <row r="69" spans="1:20" ht="26" customHeight="1">
      <c r="A69" s="377"/>
      <c r="B69" s="374"/>
      <c r="C69" s="374"/>
      <c r="D69" s="374"/>
      <c r="E69" s="374"/>
      <c r="F69" s="374"/>
      <c r="G69" s="374"/>
      <c r="H69" s="110" t="s">
        <v>5</v>
      </c>
      <c r="I69" s="265" t="s">
        <v>1438</v>
      </c>
      <c r="J69" s="110" t="s">
        <v>1438</v>
      </c>
      <c r="K69" s="267" t="s">
        <v>1438</v>
      </c>
      <c r="L69" s="265" t="s">
        <v>104</v>
      </c>
      <c r="M69" s="110" t="s">
        <v>111</v>
      </c>
      <c r="N69" s="307" t="s">
        <v>1516</v>
      </c>
      <c r="O69" s="367"/>
      <c r="P69" s="80" t="s">
        <v>474</v>
      </c>
      <c r="Q69" s="369"/>
      <c r="R69" s="371"/>
      <c r="S69" s="372"/>
      <c r="T69" s="115"/>
    </row>
    <row r="70" spans="1:20" ht="27" customHeight="1" thickBot="1">
      <c r="A70" s="377"/>
      <c r="B70" s="374"/>
      <c r="C70" s="374"/>
      <c r="D70" s="375"/>
      <c r="E70" s="375"/>
      <c r="F70" s="374"/>
      <c r="G70" s="374"/>
      <c r="H70" s="110" t="s">
        <v>1</v>
      </c>
      <c r="I70" s="265" t="s">
        <v>1438</v>
      </c>
      <c r="J70" s="110" t="s">
        <v>1438</v>
      </c>
      <c r="K70" s="267" t="s">
        <v>1438</v>
      </c>
      <c r="L70" s="265" t="s">
        <v>105</v>
      </c>
      <c r="M70" s="110" t="s">
        <v>112</v>
      </c>
      <c r="N70" s="308" t="s">
        <v>1501</v>
      </c>
      <c r="O70" s="367"/>
      <c r="P70" s="80" t="s">
        <v>474</v>
      </c>
      <c r="Q70" s="369"/>
      <c r="R70" s="371"/>
      <c r="S70" s="372"/>
      <c r="T70" s="115"/>
    </row>
    <row r="71" spans="1:20" ht="36" customHeight="1">
      <c r="A71" s="376" t="s">
        <v>333</v>
      </c>
      <c r="B71" s="373" t="s">
        <v>1206</v>
      </c>
      <c r="C71" s="373" t="s">
        <v>1205</v>
      </c>
      <c r="D71" s="373" t="s">
        <v>1452</v>
      </c>
      <c r="E71" s="373" t="s">
        <v>1453</v>
      </c>
      <c r="F71" s="373" t="s">
        <v>1436</v>
      </c>
      <c r="G71" s="373" t="s">
        <v>897</v>
      </c>
      <c r="H71" s="260" t="s">
        <v>5</v>
      </c>
      <c r="I71" s="259" t="s">
        <v>1438</v>
      </c>
      <c r="J71" s="260" t="s">
        <v>1438</v>
      </c>
      <c r="K71" s="262" t="s">
        <v>1438</v>
      </c>
      <c r="L71" s="259" t="s">
        <v>335</v>
      </c>
      <c r="M71" s="260" t="s">
        <v>336</v>
      </c>
      <c r="N71" s="323" t="s">
        <v>1298</v>
      </c>
      <c r="O71" s="368" t="s">
        <v>1202</v>
      </c>
      <c r="P71" s="82" t="s">
        <v>475</v>
      </c>
      <c r="Q71" s="343" t="s">
        <v>1114</v>
      </c>
      <c r="R71" s="370" t="s">
        <v>1440</v>
      </c>
      <c r="S71" s="347" t="s">
        <v>1084</v>
      </c>
      <c r="T71" s="115"/>
    </row>
    <row r="72" spans="1:20" ht="33" customHeight="1">
      <c r="A72" s="377"/>
      <c r="B72" s="374"/>
      <c r="C72" s="374"/>
      <c r="D72" s="374"/>
      <c r="E72" s="374"/>
      <c r="F72" s="374"/>
      <c r="G72" s="374"/>
      <c r="H72" s="110" t="s">
        <v>414</v>
      </c>
      <c r="I72" s="265" t="s">
        <v>1438</v>
      </c>
      <c r="J72" s="110" t="s">
        <v>1438</v>
      </c>
      <c r="K72" s="267" t="s">
        <v>1438</v>
      </c>
      <c r="L72" s="265" t="s">
        <v>338</v>
      </c>
      <c r="M72" s="110" t="s">
        <v>339</v>
      </c>
      <c r="N72" s="324" t="s">
        <v>1298</v>
      </c>
      <c r="O72" s="367"/>
      <c r="P72" s="80" t="s">
        <v>475</v>
      </c>
      <c r="Q72" s="369"/>
      <c r="R72" s="371"/>
      <c r="S72" s="372"/>
      <c r="T72" s="115"/>
    </row>
    <row r="73" spans="1:20" ht="45" customHeight="1" thickBot="1">
      <c r="A73" s="377"/>
      <c r="B73" s="374"/>
      <c r="C73" s="374"/>
      <c r="D73" s="374"/>
      <c r="E73" s="374"/>
      <c r="F73" s="374"/>
      <c r="G73" s="375"/>
      <c r="H73" s="110" t="s">
        <v>98</v>
      </c>
      <c r="I73" s="265" t="s">
        <v>1438</v>
      </c>
      <c r="J73" s="110" t="s">
        <v>1438</v>
      </c>
      <c r="K73" s="267" t="s">
        <v>1438</v>
      </c>
      <c r="L73" s="265" t="s">
        <v>341</v>
      </c>
      <c r="M73" s="110" t="s">
        <v>342</v>
      </c>
      <c r="N73" s="322" t="s">
        <v>1298</v>
      </c>
      <c r="O73" s="367"/>
      <c r="P73" s="80" t="s">
        <v>475</v>
      </c>
      <c r="Q73" s="369"/>
      <c r="R73" s="371"/>
      <c r="S73" s="372"/>
      <c r="T73" s="115"/>
    </row>
    <row r="74" spans="1:20" ht="24" customHeight="1">
      <c r="A74" s="376" t="s">
        <v>248</v>
      </c>
      <c r="B74" s="373" t="s">
        <v>1211</v>
      </c>
      <c r="C74" s="379" t="s">
        <v>1213</v>
      </c>
      <c r="D74" s="379" t="s">
        <v>1224</v>
      </c>
      <c r="E74" s="379" t="s">
        <v>1225</v>
      </c>
      <c r="F74" s="373" t="s">
        <v>249</v>
      </c>
      <c r="G74" s="356" t="s">
        <v>904</v>
      </c>
      <c r="H74" s="260" t="s">
        <v>251</v>
      </c>
      <c r="I74" s="201" t="s">
        <v>915</v>
      </c>
      <c r="J74" s="215" t="s">
        <v>1221</v>
      </c>
      <c r="K74" s="323" t="s">
        <v>1298</v>
      </c>
      <c r="L74" s="259" t="s">
        <v>549</v>
      </c>
      <c r="M74" s="260" t="s">
        <v>559</v>
      </c>
      <c r="N74" s="323" t="s">
        <v>209</v>
      </c>
      <c r="O74" s="359" t="s">
        <v>1212</v>
      </c>
      <c r="P74" s="278" t="s">
        <v>469</v>
      </c>
      <c r="Q74" s="356" t="s">
        <v>1135</v>
      </c>
      <c r="R74" s="362" t="s">
        <v>917</v>
      </c>
      <c r="S74" s="365" t="s">
        <v>903</v>
      </c>
      <c r="T74" s="115"/>
    </row>
    <row r="75" spans="1:20" ht="22" customHeight="1">
      <c r="A75" s="377"/>
      <c r="B75" s="374"/>
      <c r="C75" s="380"/>
      <c r="D75" s="380"/>
      <c r="E75" s="380"/>
      <c r="F75" s="374"/>
      <c r="G75" s="357"/>
      <c r="H75" s="110" t="s">
        <v>2</v>
      </c>
      <c r="I75" s="205" t="s">
        <v>908</v>
      </c>
      <c r="J75" s="224" t="s">
        <v>1214</v>
      </c>
      <c r="K75" s="324" t="s">
        <v>1298</v>
      </c>
      <c r="L75" s="265" t="s">
        <v>542</v>
      </c>
      <c r="M75" s="110" t="s">
        <v>552</v>
      </c>
      <c r="N75" s="324" t="s">
        <v>1298</v>
      </c>
      <c r="O75" s="360"/>
      <c r="P75" s="115"/>
      <c r="Q75" s="357"/>
      <c r="R75" s="363"/>
      <c r="S75" s="366"/>
      <c r="T75" s="115"/>
    </row>
    <row r="76" spans="1:20" ht="23" customHeight="1">
      <c r="A76" s="377"/>
      <c r="B76" s="374"/>
      <c r="C76" s="380"/>
      <c r="D76" s="380"/>
      <c r="E76" s="380"/>
      <c r="F76" s="374"/>
      <c r="G76" s="357"/>
      <c r="H76" s="110" t="s">
        <v>3</v>
      </c>
      <c r="I76" s="205" t="s">
        <v>911</v>
      </c>
      <c r="J76" s="224" t="s">
        <v>1217</v>
      </c>
      <c r="K76" s="324" t="s">
        <v>1298</v>
      </c>
      <c r="L76" s="265" t="s">
        <v>545</v>
      </c>
      <c r="M76" s="110" t="s">
        <v>555</v>
      </c>
      <c r="N76" s="324" t="s">
        <v>1298</v>
      </c>
      <c r="O76" s="360"/>
      <c r="P76" s="115"/>
      <c r="Q76" s="357"/>
      <c r="R76" s="363"/>
      <c r="S76" s="366"/>
      <c r="T76" s="115"/>
    </row>
    <row r="77" spans="1:20" ht="23" customHeight="1">
      <c r="A77" s="377"/>
      <c r="B77" s="374"/>
      <c r="C77" s="380"/>
      <c r="D77" s="380"/>
      <c r="E77" s="380"/>
      <c r="F77" s="374"/>
      <c r="G77" s="357"/>
      <c r="H77" s="110" t="s">
        <v>117</v>
      </c>
      <c r="I77" s="205" t="s">
        <v>912</v>
      </c>
      <c r="J77" s="224" t="s">
        <v>1218</v>
      </c>
      <c r="K77" s="324" t="s">
        <v>1298</v>
      </c>
      <c r="L77" s="265" t="s">
        <v>546</v>
      </c>
      <c r="M77" s="110" t="s">
        <v>556</v>
      </c>
      <c r="N77" s="307" t="s">
        <v>1517</v>
      </c>
      <c r="O77" s="360"/>
      <c r="P77" s="115"/>
      <c r="Q77" s="357"/>
      <c r="R77" s="363"/>
      <c r="S77" s="366"/>
      <c r="T77" s="115"/>
    </row>
    <row r="78" spans="1:20" ht="22" customHeight="1">
      <c r="A78" s="377"/>
      <c r="B78" s="374"/>
      <c r="C78" s="380"/>
      <c r="D78" s="380"/>
      <c r="E78" s="380"/>
      <c r="F78" s="374"/>
      <c r="G78" s="357"/>
      <c r="H78" s="110" t="s">
        <v>4</v>
      </c>
      <c r="I78" s="205" t="s">
        <v>913</v>
      </c>
      <c r="J78" s="224" t="s">
        <v>1219</v>
      </c>
      <c r="K78" s="324" t="s">
        <v>1298</v>
      </c>
      <c r="L78" s="265" t="s">
        <v>547</v>
      </c>
      <c r="M78" s="110" t="s">
        <v>557</v>
      </c>
      <c r="N78" s="324" t="s">
        <v>1518</v>
      </c>
      <c r="O78" s="360"/>
      <c r="P78" s="115"/>
      <c r="Q78" s="357"/>
      <c r="R78" s="363"/>
      <c r="S78" s="366"/>
      <c r="T78" s="115"/>
    </row>
    <row r="79" spans="1:20" ht="18" customHeight="1">
      <c r="A79" s="377"/>
      <c r="B79" s="374"/>
      <c r="C79" s="380"/>
      <c r="D79" s="380"/>
      <c r="E79" s="380"/>
      <c r="F79" s="374"/>
      <c r="G79" s="357"/>
      <c r="H79" s="110" t="s">
        <v>97</v>
      </c>
      <c r="I79" s="205" t="s">
        <v>916</v>
      </c>
      <c r="J79" s="224" t="s">
        <v>1222</v>
      </c>
      <c r="K79" s="324" t="s">
        <v>1298</v>
      </c>
      <c r="L79" s="290" t="s">
        <v>550</v>
      </c>
      <c r="M79" s="110" t="s">
        <v>560</v>
      </c>
      <c r="N79" s="307" t="s">
        <v>1519</v>
      </c>
      <c r="O79" s="360"/>
      <c r="P79" s="115"/>
      <c r="Q79" s="357"/>
      <c r="R79" s="363"/>
      <c r="S79" s="366"/>
      <c r="T79" s="115"/>
    </row>
    <row r="80" spans="1:20" ht="22" customHeight="1">
      <c r="A80" s="377"/>
      <c r="B80" s="374"/>
      <c r="C80" s="380"/>
      <c r="D80" s="380"/>
      <c r="E80" s="380"/>
      <c r="F80" s="374"/>
      <c r="G80" s="357"/>
      <c r="H80" s="110" t="s">
        <v>98</v>
      </c>
      <c r="I80" s="205" t="s">
        <v>914</v>
      </c>
      <c r="J80" s="224" t="s">
        <v>1220</v>
      </c>
      <c r="K80" s="324" t="s">
        <v>1298</v>
      </c>
      <c r="L80" s="265" t="s">
        <v>548</v>
      </c>
      <c r="M80" s="110" t="s">
        <v>558</v>
      </c>
      <c r="N80" s="307" t="s">
        <v>1520</v>
      </c>
      <c r="O80" s="360"/>
      <c r="P80" s="115" t="s">
        <v>469</v>
      </c>
      <c r="Q80" s="357"/>
      <c r="R80" s="364"/>
      <c r="S80" s="367"/>
      <c r="T80" s="115"/>
    </row>
    <row r="81" spans="1:20" ht="30" customHeight="1" thickBot="1">
      <c r="A81" s="378"/>
      <c r="B81" s="375"/>
      <c r="C81" s="381"/>
      <c r="D81" s="381"/>
      <c r="E81" s="381"/>
      <c r="F81" s="375"/>
      <c r="G81" s="358"/>
      <c r="H81" s="270" t="s">
        <v>5</v>
      </c>
      <c r="I81" s="205" t="s">
        <v>910</v>
      </c>
      <c r="J81" s="224" t="s">
        <v>1216</v>
      </c>
      <c r="K81" s="322" t="s">
        <v>1298</v>
      </c>
      <c r="L81" s="265" t="s">
        <v>544</v>
      </c>
      <c r="M81" s="110" t="s">
        <v>554</v>
      </c>
      <c r="N81" s="308" t="s">
        <v>1521</v>
      </c>
      <c r="O81" s="361"/>
      <c r="P81" s="285" t="s">
        <v>469</v>
      </c>
      <c r="Q81" s="357"/>
      <c r="R81" s="364"/>
      <c r="S81" s="367"/>
      <c r="T81" s="115"/>
    </row>
    <row r="82" spans="1:20" ht="42" customHeight="1">
      <c r="A82" s="335" t="s">
        <v>1391</v>
      </c>
      <c r="B82" s="345" t="s">
        <v>1394</v>
      </c>
      <c r="C82" s="345" t="s">
        <v>1395</v>
      </c>
      <c r="D82" s="345" t="s">
        <v>1396</v>
      </c>
      <c r="E82" s="345" t="s">
        <v>1397</v>
      </c>
      <c r="F82" s="343" t="s">
        <v>1438</v>
      </c>
      <c r="G82" s="345" t="s">
        <v>1438</v>
      </c>
      <c r="H82" s="215" t="s">
        <v>443</v>
      </c>
      <c r="I82" s="247" t="s">
        <v>1399</v>
      </c>
      <c r="J82" s="246" t="s">
        <v>1398</v>
      </c>
      <c r="K82" s="323" t="s">
        <v>1298</v>
      </c>
      <c r="L82" s="247" t="s">
        <v>1438</v>
      </c>
      <c r="M82" s="246" t="s">
        <v>1438</v>
      </c>
      <c r="N82" s="109" t="s">
        <v>1438</v>
      </c>
      <c r="O82" s="347" t="s">
        <v>1026</v>
      </c>
      <c r="P82" s="335" t="s">
        <v>1026</v>
      </c>
      <c r="Q82" s="337" t="s">
        <v>1114</v>
      </c>
      <c r="R82" s="339" t="s">
        <v>1392</v>
      </c>
      <c r="S82" s="341" t="s">
        <v>1393</v>
      </c>
    </row>
    <row r="83" spans="1:20" ht="45" customHeight="1" thickBot="1">
      <c r="A83" s="336"/>
      <c r="B83" s="346"/>
      <c r="C83" s="346"/>
      <c r="D83" s="346"/>
      <c r="E83" s="346"/>
      <c r="F83" s="344"/>
      <c r="G83" s="346"/>
      <c r="H83" s="225" t="s">
        <v>5</v>
      </c>
      <c r="I83" s="249" t="s">
        <v>1401</v>
      </c>
      <c r="J83" s="10" t="s">
        <v>1400</v>
      </c>
      <c r="K83" s="322" t="s">
        <v>1298</v>
      </c>
      <c r="L83" s="256" t="s">
        <v>1438</v>
      </c>
      <c r="M83" s="251" t="s">
        <v>1438</v>
      </c>
      <c r="N83" s="113" t="s">
        <v>1438</v>
      </c>
      <c r="O83" s="348"/>
      <c r="P83" s="336"/>
      <c r="Q83" s="338"/>
      <c r="R83" s="340"/>
      <c r="S83" s="342"/>
    </row>
    <row r="84" spans="1:20" ht="80" customHeight="1" thickBot="1">
      <c r="A84" s="291" t="s">
        <v>1412</v>
      </c>
      <c r="B84" s="292" t="s">
        <v>1024</v>
      </c>
      <c r="C84" s="216" t="s">
        <v>1418</v>
      </c>
      <c r="D84" s="216" t="s">
        <v>1420</v>
      </c>
      <c r="E84" s="216" t="s">
        <v>1419</v>
      </c>
      <c r="F84" s="292" t="s">
        <v>1424</v>
      </c>
      <c r="G84" s="294" t="s">
        <v>1182</v>
      </c>
      <c r="H84" s="292" t="s">
        <v>5</v>
      </c>
      <c r="I84" s="239" t="s">
        <v>1415</v>
      </c>
      <c r="J84" s="216" t="s">
        <v>1416</v>
      </c>
      <c r="K84" s="326" t="s">
        <v>1298</v>
      </c>
      <c r="L84" s="269" t="s">
        <v>1416</v>
      </c>
      <c r="M84" s="270" t="s">
        <v>1417</v>
      </c>
      <c r="N84" s="326" t="s">
        <v>1298</v>
      </c>
      <c r="O84" s="321" t="s">
        <v>1026</v>
      </c>
      <c r="P84" s="297"/>
      <c r="Q84" s="284" t="s">
        <v>1114</v>
      </c>
      <c r="R84" s="275" t="s">
        <v>1413</v>
      </c>
      <c r="S84" s="272" t="s">
        <v>1414</v>
      </c>
      <c r="T84" s="115"/>
    </row>
    <row r="85" spans="1:20" ht="26" customHeight="1">
      <c r="A85" s="377" t="s">
        <v>957</v>
      </c>
      <c r="B85" s="374" t="s">
        <v>1024</v>
      </c>
      <c r="C85" s="345" t="s">
        <v>958</v>
      </c>
      <c r="D85" s="345" t="s">
        <v>1151</v>
      </c>
      <c r="E85" s="345" t="s">
        <v>1152</v>
      </c>
      <c r="F85" s="374" t="s">
        <v>959</v>
      </c>
      <c r="G85" s="374" t="s">
        <v>939</v>
      </c>
      <c r="H85" s="110" t="s">
        <v>443</v>
      </c>
      <c r="I85" s="205" t="s">
        <v>963</v>
      </c>
      <c r="J85" s="224" t="s">
        <v>972</v>
      </c>
      <c r="K85" s="323" t="s">
        <v>1474</v>
      </c>
      <c r="L85" s="288" t="s">
        <v>963</v>
      </c>
      <c r="M85" s="283" t="s">
        <v>981</v>
      </c>
      <c r="N85" s="305" t="s">
        <v>298</v>
      </c>
      <c r="O85" s="367" t="s">
        <v>1149</v>
      </c>
      <c r="P85" s="115" t="s">
        <v>664</v>
      </c>
      <c r="Q85" s="357" t="s">
        <v>1135</v>
      </c>
      <c r="R85" s="363" t="s">
        <v>956</v>
      </c>
      <c r="S85" s="397" t="s">
        <v>1022</v>
      </c>
      <c r="T85" s="115"/>
    </row>
    <row r="86" spans="1:20" ht="19" customHeight="1">
      <c r="A86" s="377"/>
      <c r="B86" s="374"/>
      <c r="C86" s="384"/>
      <c r="D86" s="384"/>
      <c r="E86" s="384"/>
      <c r="F86" s="374"/>
      <c r="G86" s="374"/>
      <c r="H86" s="110" t="s">
        <v>2</v>
      </c>
      <c r="I86" s="205" t="s">
        <v>964</v>
      </c>
      <c r="J86" s="224" t="s">
        <v>973</v>
      </c>
      <c r="K86" s="324" t="s">
        <v>1298</v>
      </c>
      <c r="L86" s="300" t="s">
        <v>964</v>
      </c>
      <c r="M86" s="117" t="s">
        <v>982</v>
      </c>
      <c r="N86" s="307" t="s">
        <v>1522</v>
      </c>
      <c r="O86" s="367"/>
      <c r="P86" s="115" t="s">
        <v>664</v>
      </c>
      <c r="Q86" s="357"/>
      <c r="R86" s="363"/>
      <c r="S86" s="397"/>
      <c r="T86" s="115"/>
    </row>
    <row r="87" spans="1:20" ht="23" customHeight="1">
      <c r="A87" s="377"/>
      <c r="B87" s="374"/>
      <c r="C87" s="384"/>
      <c r="D87" s="384"/>
      <c r="E87" s="384"/>
      <c r="F87" s="374"/>
      <c r="G87" s="374"/>
      <c r="H87" s="110" t="s">
        <v>3</v>
      </c>
      <c r="I87" s="205" t="s">
        <v>965</v>
      </c>
      <c r="J87" s="224" t="s">
        <v>974</v>
      </c>
      <c r="K87" s="307" t="s">
        <v>1475</v>
      </c>
      <c r="L87" s="300" t="s">
        <v>965</v>
      </c>
      <c r="M87" s="117" t="s">
        <v>983</v>
      </c>
      <c r="N87" s="307" t="s">
        <v>1523</v>
      </c>
      <c r="O87" s="367"/>
      <c r="P87" s="115" t="s">
        <v>664</v>
      </c>
      <c r="Q87" s="357"/>
      <c r="R87" s="363"/>
      <c r="S87" s="397"/>
      <c r="T87" s="115"/>
    </row>
    <row r="88" spans="1:20" ht="17">
      <c r="A88" s="377"/>
      <c r="B88" s="374"/>
      <c r="C88" s="384"/>
      <c r="D88" s="384"/>
      <c r="E88" s="384"/>
      <c r="F88" s="374"/>
      <c r="G88" s="374"/>
      <c r="H88" s="110" t="s">
        <v>117</v>
      </c>
      <c r="I88" s="205" t="s">
        <v>966</v>
      </c>
      <c r="J88" s="224" t="s">
        <v>975</v>
      </c>
      <c r="K88" s="324" t="s">
        <v>1298</v>
      </c>
      <c r="L88" s="300" t="s">
        <v>966</v>
      </c>
      <c r="M88" s="117" t="s">
        <v>984</v>
      </c>
      <c r="N88" s="307" t="s">
        <v>1524</v>
      </c>
      <c r="O88" s="367"/>
      <c r="P88" s="115" t="s">
        <v>664</v>
      </c>
      <c r="Q88" s="357"/>
      <c r="R88" s="363"/>
      <c r="S88" s="397"/>
      <c r="T88" s="115"/>
    </row>
    <row r="89" spans="1:20" ht="17">
      <c r="A89" s="377"/>
      <c r="B89" s="374"/>
      <c r="C89" s="384"/>
      <c r="D89" s="384"/>
      <c r="E89" s="384"/>
      <c r="F89" s="374"/>
      <c r="G89" s="374"/>
      <c r="H89" s="110" t="s">
        <v>4</v>
      </c>
      <c r="I89" s="205" t="s">
        <v>1153</v>
      </c>
      <c r="J89" s="317" t="s">
        <v>1154</v>
      </c>
      <c r="K89" s="324" t="s">
        <v>1298</v>
      </c>
      <c r="L89" s="300" t="s">
        <v>1159</v>
      </c>
      <c r="M89" s="301" t="s">
        <v>1160</v>
      </c>
      <c r="N89" s="324" t="s">
        <v>1298</v>
      </c>
      <c r="O89" s="367"/>
      <c r="P89" s="115"/>
      <c r="Q89" s="357"/>
      <c r="R89" s="363"/>
      <c r="S89" s="397"/>
      <c r="T89" s="115"/>
    </row>
    <row r="90" spans="1:20" ht="28" customHeight="1">
      <c r="A90" s="377"/>
      <c r="B90" s="374"/>
      <c r="C90" s="384"/>
      <c r="D90" s="384"/>
      <c r="E90" s="384"/>
      <c r="F90" s="374"/>
      <c r="G90" s="374"/>
      <c r="H90" s="110" t="s">
        <v>97</v>
      </c>
      <c r="I90" s="205" t="s">
        <v>967</v>
      </c>
      <c r="J90" s="224" t="s">
        <v>976</v>
      </c>
      <c r="K90" s="307" t="s">
        <v>1476</v>
      </c>
      <c r="L90" s="300" t="s">
        <v>967</v>
      </c>
      <c r="M90" s="117" t="s">
        <v>985</v>
      </c>
      <c r="N90" s="324" t="s">
        <v>1506</v>
      </c>
      <c r="O90" s="367"/>
      <c r="P90" s="115" t="s">
        <v>664</v>
      </c>
      <c r="Q90" s="357"/>
      <c r="R90" s="363"/>
      <c r="S90" s="367"/>
      <c r="T90" s="115"/>
    </row>
    <row r="91" spans="1:20" ht="19" customHeight="1">
      <c r="A91" s="377"/>
      <c r="B91" s="374"/>
      <c r="C91" s="384"/>
      <c r="D91" s="384"/>
      <c r="E91" s="384"/>
      <c r="F91" s="374"/>
      <c r="G91" s="374"/>
      <c r="H91" s="110" t="s">
        <v>98</v>
      </c>
      <c r="I91" s="205" t="s">
        <v>961</v>
      </c>
      <c r="J91" s="224" t="s">
        <v>970</v>
      </c>
      <c r="K91" s="324" t="s">
        <v>1298</v>
      </c>
      <c r="L91" s="300" t="s">
        <v>961</v>
      </c>
      <c r="M91" s="117" t="s">
        <v>979</v>
      </c>
      <c r="N91" s="307" t="s">
        <v>1525</v>
      </c>
      <c r="O91" s="367"/>
      <c r="P91" s="115" t="s">
        <v>664</v>
      </c>
      <c r="Q91" s="357"/>
      <c r="R91" s="363"/>
      <c r="S91" s="367"/>
      <c r="T91" s="115"/>
    </row>
    <row r="92" spans="1:20" ht="21" customHeight="1">
      <c r="A92" s="377"/>
      <c r="B92" s="374"/>
      <c r="C92" s="384"/>
      <c r="D92" s="384"/>
      <c r="E92" s="384"/>
      <c r="F92" s="374"/>
      <c r="G92" s="374"/>
      <c r="H92" s="110" t="s">
        <v>121</v>
      </c>
      <c r="I92" s="205" t="s">
        <v>962</v>
      </c>
      <c r="J92" s="224" t="s">
        <v>971</v>
      </c>
      <c r="K92" s="324" t="s">
        <v>39</v>
      </c>
      <c r="L92" s="300" t="s">
        <v>962</v>
      </c>
      <c r="M92" s="117" t="s">
        <v>980</v>
      </c>
      <c r="N92" s="307" t="s">
        <v>1526</v>
      </c>
      <c r="O92" s="367"/>
      <c r="P92" s="115" t="s">
        <v>664</v>
      </c>
      <c r="Q92" s="357"/>
      <c r="R92" s="363"/>
      <c r="S92" s="367"/>
      <c r="T92" s="115"/>
    </row>
    <row r="93" spans="1:20" ht="24" customHeight="1">
      <c r="A93" s="377"/>
      <c r="B93" s="374"/>
      <c r="C93" s="384"/>
      <c r="D93" s="384"/>
      <c r="E93" s="384"/>
      <c r="F93" s="374"/>
      <c r="G93" s="374"/>
      <c r="H93" s="110" t="s">
        <v>1</v>
      </c>
      <c r="I93" s="205" t="s">
        <v>960</v>
      </c>
      <c r="J93" s="224" t="s">
        <v>969</v>
      </c>
      <c r="K93" s="324" t="s">
        <v>1298</v>
      </c>
      <c r="L93" s="288" t="s">
        <v>960</v>
      </c>
      <c r="M93" s="283" t="s">
        <v>978</v>
      </c>
      <c r="N93" s="324" t="s">
        <v>1298</v>
      </c>
      <c r="O93" s="367"/>
      <c r="P93" s="115" t="s">
        <v>664</v>
      </c>
      <c r="Q93" s="357"/>
      <c r="R93" s="363"/>
      <c r="S93" s="367"/>
    </row>
    <row r="94" spans="1:20" ht="24" customHeight="1" thickBot="1">
      <c r="A94" s="378"/>
      <c r="B94" s="375"/>
      <c r="C94" s="346"/>
      <c r="D94" s="346"/>
      <c r="E94" s="346"/>
      <c r="F94" s="375"/>
      <c r="G94" s="375"/>
      <c r="H94" s="270" t="s">
        <v>5</v>
      </c>
      <c r="I94" s="205" t="s">
        <v>968</v>
      </c>
      <c r="J94" s="224" t="s">
        <v>977</v>
      </c>
      <c r="K94" s="308" t="s">
        <v>1477</v>
      </c>
      <c r="L94" s="302" t="s">
        <v>968</v>
      </c>
      <c r="M94" s="271" t="s">
        <v>986</v>
      </c>
      <c r="N94" s="322" t="s">
        <v>1527</v>
      </c>
      <c r="O94" s="394"/>
      <c r="P94" s="285" t="s">
        <v>664</v>
      </c>
      <c r="Q94" s="358"/>
      <c r="R94" s="395"/>
      <c r="S94" s="394"/>
    </row>
    <row r="95" spans="1:20" ht="28" customHeight="1">
      <c r="A95" s="376" t="s">
        <v>116</v>
      </c>
      <c r="B95" s="373" t="s">
        <v>1025</v>
      </c>
      <c r="C95" s="345" t="s">
        <v>929</v>
      </c>
      <c r="D95" s="345" t="s">
        <v>1162</v>
      </c>
      <c r="E95" s="345" t="s">
        <v>1163</v>
      </c>
      <c r="F95" s="373" t="s">
        <v>1195</v>
      </c>
      <c r="G95" s="373" t="s">
        <v>939</v>
      </c>
      <c r="H95" s="110" t="s">
        <v>443</v>
      </c>
      <c r="I95" s="201" t="s">
        <v>711</v>
      </c>
      <c r="J95" s="215" t="s">
        <v>712</v>
      </c>
      <c r="K95" s="323" t="s">
        <v>1298</v>
      </c>
      <c r="L95" s="265" t="s">
        <v>138</v>
      </c>
      <c r="M95" s="110" t="s">
        <v>165</v>
      </c>
      <c r="N95" s="323" t="s">
        <v>1298</v>
      </c>
      <c r="O95" s="368" t="s">
        <v>1161</v>
      </c>
      <c r="P95" s="115" t="s">
        <v>664</v>
      </c>
      <c r="Q95" s="356" t="s">
        <v>1114</v>
      </c>
      <c r="R95" s="363" t="s">
        <v>899</v>
      </c>
      <c r="S95" s="366" t="s">
        <v>1021</v>
      </c>
    </row>
    <row r="96" spans="1:20" ht="28" customHeight="1">
      <c r="A96" s="377"/>
      <c r="B96" s="374"/>
      <c r="C96" s="384"/>
      <c r="D96" s="384"/>
      <c r="E96" s="384"/>
      <c r="F96" s="374"/>
      <c r="G96" s="374"/>
      <c r="H96" s="110" t="s">
        <v>2</v>
      </c>
      <c r="I96" s="205" t="s">
        <v>713</v>
      </c>
      <c r="J96" s="224" t="s">
        <v>714</v>
      </c>
      <c r="K96" s="324" t="s">
        <v>1298</v>
      </c>
      <c r="L96" s="265" t="s">
        <v>139</v>
      </c>
      <c r="M96" s="110" t="s">
        <v>166</v>
      </c>
      <c r="N96" s="324" t="s">
        <v>1298</v>
      </c>
      <c r="O96" s="367"/>
      <c r="P96" s="115" t="s">
        <v>664</v>
      </c>
      <c r="Q96" s="357"/>
      <c r="R96" s="363"/>
      <c r="S96" s="367"/>
    </row>
    <row r="97" spans="1:19" ht="28" customHeight="1">
      <c r="A97" s="377"/>
      <c r="B97" s="374"/>
      <c r="C97" s="384"/>
      <c r="D97" s="384"/>
      <c r="E97" s="384"/>
      <c r="F97" s="374"/>
      <c r="G97" s="374"/>
      <c r="H97" s="110" t="s">
        <v>3</v>
      </c>
      <c r="I97" s="205" t="s">
        <v>715</v>
      </c>
      <c r="J97" s="224" t="s">
        <v>140</v>
      </c>
      <c r="K97" s="324" t="s">
        <v>1298</v>
      </c>
      <c r="L97" s="265" t="s">
        <v>140</v>
      </c>
      <c r="M97" s="110" t="s">
        <v>167</v>
      </c>
      <c r="N97" s="324" t="s">
        <v>1298</v>
      </c>
      <c r="O97" s="367"/>
      <c r="P97" s="115" t="s">
        <v>664</v>
      </c>
      <c r="Q97" s="357"/>
      <c r="R97" s="363"/>
      <c r="S97" s="367"/>
    </row>
    <row r="98" spans="1:19" ht="28" customHeight="1">
      <c r="A98" s="377"/>
      <c r="B98" s="374"/>
      <c r="C98" s="384"/>
      <c r="D98" s="384"/>
      <c r="E98" s="384"/>
      <c r="F98" s="374"/>
      <c r="G98" s="374"/>
      <c r="H98" s="110" t="s">
        <v>117</v>
      </c>
      <c r="I98" s="205" t="s">
        <v>716</v>
      </c>
      <c r="J98" s="224" t="s">
        <v>717</v>
      </c>
      <c r="K98" s="324" t="s">
        <v>1298</v>
      </c>
      <c r="L98" s="265" t="s">
        <v>141</v>
      </c>
      <c r="M98" s="110" t="s">
        <v>168</v>
      </c>
      <c r="N98" s="324" t="s">
        <v>1298</v>
      </c>
      <c r="O98" s="367"/>
      <c r="P98" s="115" t="s">
        <v>664</v>
      </c>
      <c r="Q98" s="357"/>
      <c r="R98" s="363"/>
      <c r="S98" s="367"/>
    </row>
    <row r="99" spans="1:19" ht="22" customHeight="1">
      <c r="A99" s="377"/>
      <c r="B99" s="374"/>
      <c r="C99" s="384"/>
      <c r="D99" s="384"/>
      <c r="E99" s="384"/>
      <c r="F99" s="374"/>
      <c r="G99" s="374"/>
      <c r="H99" s="110" t="s">
        <v>4</v>
      </c>
      <c r="I99" s="205" t="s">
        <v>718</v>
      </c>
      <c r="J99" s="224" t="s">
        <v>142</v>
      </c>
      <c r="K99" s="324" t="s">
        <v>1298</v>
      </c>
      <c r="L99" s="265" t="s">
        <v>142</v>
      </c>
      <c r="M99" s="110" t="s">
        <v>169</v>
      </c>
      <c r="N99" s="324" t="s">
        <v>1298</v>
      </c>
      <c r="O99" s="367"/>
      <c r="P99" s="115" t="s">
        <v>664</v>
      </c>
      <c r="Q99" s="357"/>
      <c r="R99" s="363"/>
      <c r="S99" s="367"/>
    </row>
    <row r="100" spans="1:19" ht="22" customHeight="1">
      <c r="A100" s="377"/>
      <c r="B100" s="374"/>
      <c r="C100" s="384"/>
      <c r="D100" s="384"/>
      <c r="E100" s="384"/>
      <c r="F100" s="374"/>
      <c r="G100" s="374"/>
      <c r="H100" s="110" t="s">
        <v>97</v>
      </c>
      <c r="I100" s="205" t="s">
        <v>719</v>
      </c>
      <c r="J100" s="224" t="s">
        <v>720</v>
      </c>
      <c r="K100" s="324" t="s">
        <v>1298</v>
      </c>
      <c r="L100" s="265" t="s">
        <v>143</v>
      </c>
      <c r="M100" s="110" t="s">
        <v>170</v>
      </c>
      <c r="N100" s="324" t="s">
        <v>1298</v>
      </c>
      <c r="O100" s="367"/>
      <c r="P100" s="115" t="s">
        <v>664</v>
      </c>
      <c r="Q100" s="357"/>
      <c r="R100" s="363"/>
      <c r="S100" s="367"/>
    </row>
    <row r="101" spans="1:19" ht="27" customHeight="1">
      <c r="A101" s="377"/>
      <c r="B101" s="374"/>
      <c r="C101" s="384"/>
      <c r="D101" s="384"/>
      <c r="E101" s="384"/>
      <c r="F101" s="374"/>
      <c r="G101" s="374"/>
      <c r="H101" s="110" t="s">
        <v>98</v>
      </c>
      <c r="I101" s="205" t="s">
        <v>721</v>
      </c>
      <c r="J101" s="224" t="s">
        <v>144</v>
      </c>
      <c r="K101" s="324" t="s">
        <v>1298</v>
      </c>
      <c r="L101" s="265" t="s">
        <v>144</v>
      </c>
      <c r="M101" s="110" t="s">
        <v>171</v>
      </c>
      <c r="N101" s="324" t="s">
        <v>1298</v>
      </c>
      <c r="O101" s="367"/>
      <c r="P101" s="115" t="s">
        <v>664</v>
      </c>
      <c r="Q101" s="357"/>
      <c r="R101" s="363"/>
      <c r="S101" s="367"/>
    </row>
    <row r="102" spans="1:19" ht="28" customHeight="1">
      <c r="A102" s="377"/>
      <c r="B102" s="374"/>
      <c r="C102" s="384"/>
      <c r="D102" s="384"/>
      <c r="E102" s="384"/>
      <c r="F102" s="374"/>
      <c r="G102" s="374"/>
      <c r="H102" s="110" t="s">
        <v>121</v>
      </c>
      <c r="I102" s="205" t="s">
        <v>723</v>
      </c>
      <c r="J102" s="224" t="s">
        <v>147</v>
      </c>
      <c r="K102" s="324" t="s">
        <v>1298</v>
      </c>
      <c r="L102" s="265" t="s">
        <v>147</v>
      </c>
      <c r="M102" s="110" t="s">
        <v>174</v>
      </c>
      <c r="N102" s="324" t="s">
        <v>1298</v>
      </c>
      <c r="O102" s="367"/>
      <c r="P102" s="115" t="s">
        <v>664</v>
      </c>
      <c r="Q102" s="357"/>
      <c r="R102" s="363"/>
      <c r="S102" s="367"/>
    </row>
    <row r="103" spans="1:19" ht="25" customHeight="1" thickBot="1">
      <c r="A103" s="378"/>
      <c r="B103" s="375"/>
      <c r="C103" s="346"/>
      <c r="D103" s="346"/>
      <c r="E103" s="346"/>
      <c r="F103" s="375"/>
      <c r="G103" s="375"/>
      <c r="H103" s="110" t="s">
        <v>5</v>
      </c>
      <c r="I103" s="205" t="s">
        <v>726</v>
      </c>
      <c r="J103" s="224" t="s">
        <v>156</v>
      </c>
      <c r="K103" s="322" t="s">
        <v>1298</v>
      </c>
      <c r="L103" s="265" t="s">
        <v>156</v>
      </c>
      <c r="M103" s="110" t="s">
        <v>183</v>
      </c>
      <c r="N103" s="322" t="s">
        <v>1298</v>
      </c>
      <c r="O103" s="394"/>
      <c r="P103" s="115" t="s">
        <v>664</v>
      </c>
      <c r="Q103" s="358"/>
      <c r="R103" s="363"/>
      <c r="S103" s="367"/>
    </row>
    <row r="104" spans="1:19" ht="17">
      <c r="A104" s="376" t="s">
        <v>940</v>
      </c>
      <c r="B104" s="373" t="s">
        <v>1025</v>
      </c>
      <c r="C104" s="373" t="s">
        <v>1454</v>
      </c>
      <c r="D104" s="402" t="s">
        <v>1168</v>
      </c>
      <c r="E104" s="373" t="s">
        <v>1169</v>
      </c>
      <c r="F104" s="373" t="s">
        <v>941</v>
      </c>
      <c r="G104" s="373" t="s">
        <v>939</v>
      </c>
      <c r="H104" s="260" t="s">
        <v>443</v>
      </c>
      <c r="I104" s="201" t="s">
        <v>942</v>
      </c>
      <c r="J104" s="215" t="s">
        <v>945</v>
      </c>
      <c r="K104" s="323" t="s">
        <v>1478</v>
      </c>
      <c r="L104" s="259" t="s">
        <v>948</v>
      </c>
      <c r="M104" s="260" t="s">
        <v>951</v>
      </c>
      <c r="N104" s="305" t="s">
        <v>1528</v>
      </c>
      <c r="O104" s="399" t="s">
        <v>1167</v>
      </c>
      <c r="P104" s="278" t="s">
        <v>663</v>
      </c>
      <c r="Q104" s="356" t="s">
        <v>1114</v>
      </c>
      <c r="R104" s="362" t="s">
        <v>954</v>
      </c>
      <c r="S104" s="396" t="s">
        <v>955</v>
      </c>
    </row>
    <row r="105" spans="1:19" ht="17">
      <c r="A105" s="377"/>
      <c r="B105" s="374"/>
      <c r="C105" s="374"/>
      <c r="D105" s="403"/>
      <c r="E105" s="374"/>
      <c r="F105" s="374"/>
      <c r="G105" s="374"/>
      <c r="H105" s="114" t="s">
        <v>2</v>
      </c>
      <c r="I105" s="205" t="s">
        <v>1170</v>
      </c>
      <c r="J105" s="224" t="s">
        <v>1171</v>
      </c>
      <c r="K105" s="324" t="s">
        <v>1298</v>
      </c>
      <c r="L105" s="265" t="s">
        <v>1438</v>
      </c>
      <c r="M105" s="110" t="s">
        <v>1438</v>
      </c>
      <c r="N105" s="267" t="s">
        <v>1438</v>
      </c>
      <c r="O105" s="400"/>
      <c r="P105" s="115"/>
      <c r="Q105" s="357"/>
      <c r="R105" s="363"/>
      <c r="S105" s="397"/>
    </row>
    <row r="106" spans="1:19" ht="17">
      <c r="A106" s="377"/>
      <c r="B106" s="374"/>
      <c r="C106" s="374"/>
      <c r="D106" s="403"/>
      <c r="E106" s="374"/>
      <c r="F106" s="374"/>
      <c r="G106" s="374"/>
      <c r="H106" s="110" t="s">
        <v>4</v>
      </c>
      <c r="I106" s="265" t="s">
        <v>1438</v>
      </c>
      <c r="J106" s="110" t="s">
        <v>1438</v>
      </c>
      <c r="K106" s="307" t="s">
        <v>1438</v>
      </c>
      <c r="L106" s="265" t="s">
        <v>1174</v>
      </c>
      <c r="M106" s="110" t="s">
        <v>1175</v>
      </c>
      <c r="N106" s="307" t="s">
        <v>1529</v>
      </c>
      <c r="O106" s="400"/>
      <c r="P106" s="115"/>
      <c r="Q106" s="357"/>
      <c r="R106" s="363"/>
      <c r="S106" s="397"/>
    </row>
    <row r="107" spans="1:19" ht="17">
      <c r="A107" s="377"/>
      <c r="B107" s="374"/>
      <c r="C107" s="374"/>
      <c r="D107" s="403"/>
      <c r="E107" s="374"/>
      <c r="F107" s="374"/>
      <c r="G107" s="374"/>
      <c r="H107" s="114" t="s">
        <v>97</v>
      </c>
      <c r="I107" s="205" t="s">
        <v>1172</v>
      </c>
      <c r="J107" s="224" t="s">
        <v>1173</v>
      </c>
      <c r="K107" s="324" t="s">
        <v>1298</v>
      </c>
      <c r="L107" s="265" t="s">
        <v>1438</v>
      </c>
      <c r="M107" s="110" t="s">
        <v>1438</v>
      </c>
      <c r="N107" s="267" t="s">
        <v>1438</v>
      </c>
      <c r="O107" s="400"/>
      <c r="P107" s="115"/>
      <c r="Q107" s="357"/>
      <c r="R107" s="363"/>
      <c r="S107" s="397"/>
    </row>
    <row r="108" spans="1:19" ht="17">
      <c r="A108" s="377"/>
      <c r="B108" s="374"/>
      <c r="C108" s="374"/>
      <c r="D108" s="403"/>
      <c r="E108" s="374"/>
      <c r="F108" s="374"/>
      <c r="G108" s="374"/>
      <c r="H108" s="110" t="s">
        <v>5</v>
      </c>
      <c r="I108" s="205" t="s">
        <v>943</v>
      </c>
      <c r="J108" s="224" t="s">
        <v>946</v>
      </c>
      <c r="K108" s="324" t="s">
        <v>1298</v>
      </c>
      <c r="L108" s="265" t="s">
        <v>949</v>
      </c>
      <c r="M108" s="110" t="s">
        <v>952</v>
      </c>
      <c r="N108" s="307" t="s">
        <v>1530</v>
      </c>
      <c r="O108" s="400"/>
      <c r="P108" s="115" t="s">
        <v>663</v>
      </c>
      <c r="Q108" s="357"/>
      <c r="R108" s="363"/>
      <c r="S108" s="367"/>
    </row>
    <row r="109" spans="1:19" ht="23" customHeight="1" thickBot="1">
      <c r="A109" s="378"/>
      <c r="B109" s="375"/>
      <c r="C109" s="375"/>
      <c r="D109" s="404"/>
      <c r="E109" s="375"/>
      <c r="F109" s="375"/>
      <c r="G109" s="375"/>
      <c r="H109" s="270" t="s">
        <v>1</v>
      </c>
      <c r="I109" s="205" t="s">
        <v>944</v>
      </c>
      <c r="J109" s="224" t="s">
        <v>947</v>
      </c>
      <c r="K109" s="324" t="s">
        <v>1298</v>
      </c>
      <c r="L109" s="269" t="s">
        <v>950</v>
      </c>
      <c r="M109" s="270" t="s">
        <v>953</v>
      </c>
      <c r="N109" s="322" t="s">
        <v>1298</v>
      </c>
      <c r="O109" s="401"/>
      <c r="P109" s="285" t="s">
        <v>663</v>
      </c>
      <c r="Q109" s="358"/>
      <c r="R109" s="395"/>
      <c r="S109" s="394"/>
    </row>
    <row r="110" spans="1:19" ht="22" customHeight="1">
      <c r="A110" s="376" t="s">
        <v>995</v>
      </c>
      <c r="B110" s="373" t="s">
        <v>1024</v>
      </c>
      <c r="C110" s="373" t="s">
        <v>996</v>
      </c>
      <c r="D110" s="345" t="s">
        <v>1178</v>
      </c>
      <c r="E110" s="345" t="s">
        <v>1179</v>
      </c>
      <c r="F110" s="373" t="s">
        <v>997</v>
      </c>
      <c r="G110" s="373" t="s">
        <v>904</v>
      </c>
      <c r="H110" s="260" t="s">
        <v>251</v>
      </c>
      <c r="I110" s="232" t="s">
        <v>999</v>
      </c>
      <c r="J110" s="202" t="s">
        <v>1003</v>
      </c>
      <c r="K110" s="323" t="s">
        <v>1298</v>
      </c>
      <c r="L110" s="259" t="s">
        <v>1007</v>
      </c>
      <c r="M110" s="260" t="s">
        <v>1009</v>
      </c>
      <c r="N110" s="323" t="s">
        <v>38</v>
      </c>
      <c r="O110" s="368" t="s">
        <v>1026</v>
      </c>
      <c r="P110" s="278" t="s">
        <v>469</v>
      </c>
      <c r="Q110" s="356" t="s">
        <v>1114</v>
      </c>
      <c r="R110" s="362" t="s">
        <v>998</v>
      </c>
      <c r="S110" s="396" t="s">
        <v>1019</v>
      </c>
    </row>
    <row r="111" spans="1:19" ht="26" customHeight="1">
      <c r="A111" s="377"/>
      <c r="B111" s="374"/>
      <c r="C111" s="374"/>
      <c r="D111" s="384"/>
      <c r="E111" s="384"/>
      <c r="F111" s="374"/>
      <c r="G111" s="374"/>
      <c r="H111" s="110" t="s">
        <v>4</v>
      </c>
      <c r="I111" s="205" t="s">
        <v>1000</v>
      </c>
      <c r="J111" s="224" t="s">
        <v>1004</v>
      </c>
      <c r="K111" s="324" t="s">
        <v>1298</v>
      </c>
      <c r="L111" s="265" t="s">
        <v>1008</v>
      </c>
      <c r="M111" s="110" t="s">
        <v>1010</v>
      </c>
      <c r="N111" s="324" t="s">
        <v>1298</v>
      </c>
      <c r="O111" s="367"/>
      <c r="P111" s="115" t="s">
        <v>469</v>
      </c>
      <c r="Q111" s="357"/>
      <c r="R111" s="363"/>
      <c r="S111" s="397"/>
    </row>
    <row r="112" spans="1:19" ht="24" customHeight="1">
      <c r="A112" s="377"/>
      <c r="B112" s="374"/>
      <c r="C112" s="374"/>
      <c r="D112" s="384"/>
      <c r="E112" s="384"/>
      <c r="F112" s="374"/>
      <c r="G112" s="374"/>
      <c r="H112" s="110" t="s">
        <v>98</v>
      </c>
      <c r="I112" s="234" t="s">
        <v>1001</v>
      </c>
      <c r="J112" s="206" t="s">
        <v>1005</v>
      </c>
      <c r="K112" s="324" t="s">
        <v>1298</v>
      </c>
      <c r="L112" s="265" t="s">
        <v>1005</v>
      </c>
      <c r="M112" s="110" t="s">
        <v>1011</v>
      </c>
      <c r="N112" s="324" t="s">
        <v>1298</v>
      </c>
      <c r="O112" s="367"/>
      <c r="P112" s="115" t="s">
        <v>469</v>
      </c>
      <c r="Q112" s="357"/>
      <c r="R112" s="363"/>
      <c r="S112" s="397"/>
    </row>
    <row r="113" spans="1:19" ht="34" customHeight="1" thickBot="1">
      <c r="A113" s="378"/>
      <c r="B113" s="375"/>
      <c r="C113" s="375"/>
      <c r="D113" s="346"/>
      <c r="E113" s="346"/>
      <c r="F113" s="375"/>
      <c r="G113" s="375"/>
      <c r="H113" s="270" t="s">
        <v>5</v>
      </c>
      <c r="I113" s="210" t="s">
        <v>1002</v>
      </c>
      <c r="J113" s="225" t="s">
        <v>1006</v>
      </c>
      <c r="K113" s="322" t="s">
        <v>1298</v>
      </c>
      <c r="L113" s="269" t="s">
        <v>1006</v>
      </c>
      <c r="M113" s="270" t="s">
        <v>1012</v>
      </c>
      <c r="N113" s="322" t="s">
        <v>1298</v>
      </c>
      <c r="O113" s="394"/>
      <c r="P113" s="285" t="s">
        <v>469</v>
      </c>
      <c r="Q113" s="358"/>
      <c r="R113" s="395"/>
      <c r="S113" s="398"/>
    </row>
    <row r="117" spans="1:19">
      <c r="A117" t="s">
        <v>1534</v>
      </c>
    </row>
    <row r="118" spans="1:19">
      <c r="A118" t="s">
        <v>1533</v>
      </c>
    </row>
  </sheetData>
  <mergeCells count="267">
    <mergeCell ref="G2:G4"/>
    <mergeCell ref="O2:O4"/>
    <mergeCell ref="Q2:Q4"/>
    <mergeCell ref="R2:R4"/>
    <mergeCell ref="S2:S4"/>
    <mergeCell ref="A2:A4"/>
    <mergeCell ref="B2:B4"/>
    <mergeCell ref="C2:C4"/>
    <mergeCell ref="D2:D4"/>
    <mergeCell ref="E2:E4"/>
    <mergeCell ref="F2:F4"/>
    <mergeCell ref="S10:S11"/>
    <mergeCell ref="A12:A16"/>
    <mergeCell ref="B12:B16"/>
    <mergeCell ref="C12:C16"/>
    <mergeCell ref="D12:D16"/>
    <mergeCell ref="E12:E16"/>
    <mergeCell ref="A10:A11"/>
    <mergeCell ref="B10:B11"/>
    <mergeCell ref="C10:C11"/>
    <mergeCell ref="D10:D11"/>
    <mergeCell ref="E10:E11"/>
    <mergeCell ref="F10:F11"/>
    <mergeCell ref="S12:S16"/>
    <mergeCell ref="F12:F16"/>
    <mergeCell ref="G12:G16"/>
    <mergeCell ref="O12:O16"/>
    <mergeCell ref="Q12:Q16"/>
    <mergeCell ref="R12:R16"/>
    <mergeCell ref="E17:E19"/>
    <mergeCell ref="F17:F19"/>
    <mergeCell ref="G17:G19"/>
    <mergeCell ref="O17:O19"/>
    <mergeCell ref="Q17:Q19"/>
    <mergeCell ref="G10:G11"/>
    <mergeCell ref="O10:O11"/>
    <mergeCell ref="Q10:Q11"/>
    <mergeCell ref="R10:R11"/>
    <mergeCell ref="A30:A31"/>
    <mergeCell ref="B30:B31"/>
    <mergeCell ref="C30:C31"/>
    <mergeCell ref="D30:D31"/>
    <mergeCell ref="E30:E31"/>
    <mergeCell ref="F30:F31"/>
    <mergeCell ref="G30:G31"/>
    <mergeCell ref="R17:R19"/>
    <mergeCell ref="S17:S19"/>
    <mergeCell ref="A20:A25"/>
    <mergeCell ref="B20:B25"/>
    <mergeCell ref="C20:C25"/>
    <mergeCell ref="D20:D25"/>
    <mergeCell ref="E20:E25"/>
    <mergeCell ref="F20:F25"/>
    <mergeCell ref="G20:G25"/>
    <mergeCell ref="O20:O25"/>
    <mergeCell ref="Q20:Q25"/>
    <mergeCell ref="R20:R25"/>
    <mergeCell ref="S20:S25"/>
    <mergeCell ref="A17:A19"/>
    <mergeCell ref="B17:B19"/>
    <mergeCell ref="C17:C19"/>
    <mergeCell ref="D17:D19"/>
    <mergeCell ref="O26:O27"/>
    <mergeCell ref="Q26:Q27"/>
    <mergeCell ref="R26:R27"/>
    <mergeCell ref="S26:S27"/>
    <mergeCell ref="A28:A29"/>
    <mergeCell ref="B28:B29"/>
    <mergeCell ref="C28:C29"/>
    <mergeCell ref="D28:D29"/>
    <mergeCell ref="E28:E29"/>
    <mergeCell ref="F28:F29"/>
    <mergeCell ref="A26:A27"/>
    <mergeCell ref="B26:B27"/>
    <mergeCell ref="C26:C27"/>
    <mergeCell ref="D26:D27"/>
    <mergeCell ref="E26:E27"/>
    <mergeCell ref="F26:F27"/>
    <mergeCell ref="G26:G27"/>
    <mergeCell ref="O30:O31"/>
    <mergeCell ref="Q30:Q31"/>
    <mergeCell ref="R30:R31"/>
    <mergeCell ref="S30:S31"/>
    <mergeCell ref="G28:G29"/>
    <mergeCell ref="O28:O29"/>
    <mergeCell ref="Q28:Q29"/>
    <mergeCell ref="R28:R29"/>
    <mergeCell ref="S28:S29"/>
    <mergeCell ref="Q35:Q40"/>
    <mergeCell ref="R35:R40"/>
    <mergeCell ref="S35:S40"/>
    <mergeCell ref="G32:G33"/>
    <mergeCell ref="O32:O33"/>
    <mergeCell ref="Q32:Q33"/>
    <mergeCell ref="R32:R33"/>
    <mergeCell ref="S32:S33"/>
    <mergeCell ref="A35:A40"/>
    <mergeCell ref="B35:B40"/>
    <mergeCell ref="C35:C40"/>
    <mergeCell ref="D35:D40"/>
    <mergeCell ref="E35:E40"/>
    <mergeCell ref="A32:A33"/>
    <mergeCell ref="B32:B33"/>
    <mergeCell ref="C32:C33"/>
    <mergeCell ref="D32:D33"/>
    <mergeCell ref="E32:E33"/>
    <mergeCell ref="F32:F33"/>
    <mergeCell ref="A41:A42"/>
    <mergeCell ref="B41:B42"/>
    <mergeCell ref="C41:C42"/>
    <mergeCell ref="D41:D42"/>
    <mergeCell ref="E41:E42"/>
    <mergeCell ref="F41:F42"/>
    <mergeCell ref="F35:F40"/>
    <mergeCell ref="G35:G40"/>
    <mergeCell ref="O35:O40"/>
    <mergeCell ref="F45:F46"/>
    <mergeCell ref="G45:G46"/>
    <mergeCell ref="O45:O46"/>
    <mergeCell ref="Q45:Q46"/>
    <mergeCell ref="R45:R46"/>
    <mergeCell ref="S45:S46"/>
    <mergeCell ref="G41:G42"/>
    <mergeCell ref="O41:O42"/>
    <mergeCell ref="Q41:Q42"/>
    <mergeCell ref="R41:R42"/>
    <mergeCell ref="S41:S42"/>
    <mergeCell ref="Q43:Q44"/>
    <mergeCell ref="F55:F63"/>
    <mergeCell ref="G55:G63"/>
    <mergeCell ref="O55:O63"/>
    <mergeCell ref="G47:G54"/>
    <mergeCell ref="O47:O54"/>
    <mergeCell ref="Q47:Q54"/>
    <mergeCell ref="R47:R54"/>
    <mergeCell ref="S47:S54"/>
    <mergeCell ref="A55:A63"/>
    <mergeCell ref="B55:B63"/>
    <mergeCell ref="C55:C63"/>
    <mergeCell ref="D55:D63"/>
    <mergeCell ref="E55:E63"/>
    <mergeCell ref="A47:A54"/>
    <mergeCell ref="B47:B54"/>
    <mergeCell ref="C47:C54"/>
    <mergeCell ref="D47:D54"/>
    <mergeCell ref="E47:E54"/>
    <mergeCell ref="F47:F54"/>
    <mergeCell ref="S55:S63"/>
    <mergeCell ref="Q55:Q63"/>
    <mergeCell ref="R55:R63"/>
    <mergeCell ref="R64:R70"/>
    <mergeCell ref="S64:S70"/>
    <mergeCell ref="A71:A73"/>
    <mergeCell ref="B71:B73"/>
    <mergeCell ref="C71:C73"/>
    <mergeCell ref="D71:D73"/>
    <mergeCell ref="E71:E73"/>
    <mergeCell ref="F71:F73"/>
    <mergeCell ref="G71:G73"/>
    <mergeCell ref="A64:A70"/>
    <mergeCell ref="B64:B70"/>
    <mergeCell ref="C64:C70"/>
    <mergeCell ref="D64:D70"/>
    <mergeCell ref="E64:E70"/>
    <mergeCell ref="F64:F70"/>
    <mergeCell ref="G64:G70"/>
    <mergeCell ref="O64:O70"/>
    <mergeCell ref="A95:A103"/>
    <mergeCell ref="B95:B103"/>
    <mergeCell ref="C95:C103"/>
    <mergeCell ref="D95:D103"/>
    <mergeCell ref="E95:E103"/>
    <mergeCell ref="A85:A94"/>
    <mergeCell ref="B85:B94"/>
    <mergeCell ref="C85:C94"/>
    <mergeCell ref="D85:D94"/>
    <mergeCell ref="E85:E94"/>
    <mergeCell ref="F95:F103"/>
    <mergeCell ref="G95:G103"/>
    <mergeCell ref="O95:O103"/>
    <mergeCell ref="Q95:Q103"/>
    <mergeCell ref="R95:R103"/>
    <mergeCell ref="S95:S103"/>
    <mergeCell ref="G85:G94"/>
    <mergeCell ref="O85:O94"/>
    <mergeCell ref="Q85:Q94"/>
    <mergeCell ref="R85:R94"/>
    <mergeCell ref="S85:S94"/>
    <mergeCell ref="F85:F94"/>
    <mergeCell ref="A110:A113"/>
    <mergeCell ref="B110:B113"/>
    <mergeCell ref="C110:C113"/>
    <mergeCell ref="D110:D113"/>
    <mergeCell ref="E110:E113"/>
    <mergeCell ref="A104:A109"/>
    <mergeCell ref="B104:B109"/>
    <mergeCell ref="C104:C109"/>
    <mergeCell ref="D104:D109"/>
    <mergeCell ref="E104:E109"/>
    <mergeCell ref="F110:F113"/>
    <mergeCell ref="G110:G113"/>
    <mergeCell ref="O110:O113"/>
    <mergeCell ref="Q110:Q113"/>
    <mergeCell ref="R110:R113"/>
    <mergeCell ref="S110:S113"/>
    <mergeCell ref="G104:G109"/>
    <mergeCell ref="O104:O109"/>
    <mergeCell ref="Q104:Q109"/>
    <mergeCell ref="R104:R109"/>
    <mergeCell ref="S104:S109"/>
    <mergeCell ref="F104:F109"/>
    <mergeCell ref="P6:P9"/>
    <mergeCell ref="R6:R9"/>
    <mergeCell ref="S6:S9"/>
    <mergeCell ref="F6:F9"/>
    <mergeCell ref="G6:G9"/>
    <mergeCell ref="Q6:Q9"/>
    <mergeCell ref="A6:A9"/>
    <mergeCell ref="B6:B9"/>
    <mergeCell ref="C6:C9"/>
    <mergeCell ref="D6:D9"/>
    <mergeCell ref="E6:E9"/>
    <mergeCell ref="O6:O9"/>
    <mergeCell ref="A82:A83"/>
    <mergeCell ref="B82:B83"/>
    <mergeCell ref="C82:C83"/>
    <mergeCell ref="D82:D83"/>
    <mergeCell ref="E82:E83"/>
    <mergeCell ref="A43:A44"/>
    <mergeCell ref="B43:B44"/>
    <mergeCell ref="C43:C44"/>
    <mergeCell ref="D43:D44"/>
    <mergeCell ref="E43:E44"/>
    <mergeCell ref="A74:A81"/>
    <mergeCell ref="B74:B81"/>
    <mergeCell ref="C74:C81"/>
    <mergeCell ref="D74:D81"/>
    <mergeCell ref="E74:E81"/>
    <mergeCell ref="A45:A46"/>
    <mergeCell ref="B45:B46"/>
    <mergeCell ref="C45:C46"/>
    <mergeCell ref="D45:D46"/>
    <mergeCell ref="E45:E46"/>
    <mergeCell ref="P82:P83"/>
    <mergeCell ref="Q82:Q83"/>
    <mergeCell ref="R82:R83"/>
    <mergeCell ref="S82:S83"/>
    <mergeCell ref="F82:F83"/>
    <mergeCell ref="G82:G83"/>
    <mergeCell ref="O82:O83"/>
    <mergeCell ref="P43:P44"/>
    <mergeCell ref="R43:R44"/>
    <mergeCell ref="S43:S44"/>
    <mergeCell ref="F43:F44"/>
    <mergeCell ref="G43:G44"/>
    <mergeCell ref="O43:O44"/>
    <mergeCell ref="G74:G81"/>
    <mergeCell ref="O74:O81"/>
    <mergeCell ref="Q74:Q81"/>
    <mergeCell ref="R74:R81"/>
    <mergeCell ref="S74:S81"/>
    <mergeCell ref="O71:O73"/>
    <mergeCell ref="Q71:Q73"/>
    <mergeCell ref="R71:R73"/>
    <mergeCell ref="S71:S73"/>
    <mergeCell ref="F74:F81"/>
    <mergeCell ref="Q64:Q70"/>
  </mergeCells>
  <hyperlinks>
    <hyperlink ref="S95" r:id="rId1" display="https://www.sciencedirect.com/science/article/pii/S1567576923004290?ref=pdf_download&amp;fr=RR-2&amp;rr=979f02ae5c9e1af5" xr:uid="{E3BDBCA8-F075-574F-A9D9-02AB01C2C1FE}"/>
    <hyperlink ref="S74" r:id="rId2" xr:uid="{8C1E77FC-0F75-2746-9E7F-8BD2FC772B6D}"/>
    <hyperlink ref="S2" r:id="rId3" display="https://www.sciencedirect.com/science/article/pii/S0924977X01000815?ref=pdf_download&amp;fr=RR-2&amp;rr=979f2c587fd71b08" xr:uid="{9BE0445E-AD1C-F741-B354-524B46B13329}"/>
    <hyperlink ref="S47" r:id="rId4" xr:uid="{165E7DCE-A5DC-9649-98FF-38FF026A82CF}"/>
    <hyperlink ref="S35" r:id="rId5" display="https://pubmed.ncbi.nlm.nih.gov/22981313/" xr:uid="{F9A4809A-35C3-F346-A32F-0CEEB2E92613}"/>
    <hyperlink ref="S104" r:id="rId6" xr:uid="{F8D18A45-6111-E340-9907-EABAEBD4EB62}"/>
    <hyperlink ref="S85" r:id="rId7" xr:uid="{A19F8F0D-8829-FC46-8EDF-1D33CB315600}"/>
    <hyperlink ref="S110" r:id="rId8" display="https://www.sciencedirect.com/science/article/pii/S0022395625001414?ref=pdf_download&amp;fr=RR-2&amp;rr=97a84c0e5fc85285" xr:uid="{4ECCC261-A9A5-FE4F-9774-FFB14DDC2303}"/>
    <hyperlink ref="S55" r:id="rId9" xr:uid="{ACCDEAAC-ED64-2642-A176-68C3C05282D4}"/>
    <hyperlink ref="S43" r:id="rId10" xr:uid="{E5257335-5E5F-424C-B9F5-47A94E3FCF44}"/>
    <hyperlink ref="S82" r:id="rId11" xr:uid="{D234D2DC-A63B-A34B-93B3-701DC1B5B9E6}"/>
  </hyperlinks>
  <pageMargins left="0.511811024" right="0.511811024" top="0.78740157499999996" bottom="0.78740157499999996" header="0.31496062000000002" footer="0.31496062000000002"/>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578E1-CA31-744F-BD78-08D5900DA5A1}">
  <dimension ref="A1:I12"/>
  <sheetViews>
    <sheetView zoomScale="50" zoomScaleNormal="50" workbookViewId="0">
      <selection activeCell="G12" sqref="G12"/>
    </sheetView>
  </sheetViews>
  <sheetFormatPr baseColWidth="10" defaultRowHeight="16"/>
  <cols>
    <col min="1" max="1" width="10.83203125" style="330" customWidth="1"/>
    <col min="2" max="2" width="11.5" style="328" customWidth="1"/>
    <col min="3" max="3" width="29.33203125" style="329" customWidth="1"/>
    <col min="4" max="4" width="115.5" style="330" customWidth="1"/>
    <col min="5" max="5" width="29.33203125" style="329" customWidth="1"/>
    <col min="6" max="6" width="103" style="330" customWidth="1"/>
    <col min="7" max="7" width="22.5" style="329" customWidth="1"/>
    <col min="8" max="8" width="53.33203125" style="329" customWidth="1"/>
    <col min="9" max="9" width="46.1640625" customWidth="1"/>
  </cols>
  <sheetData>
    <row r="1" spans="1:9" ht="17">
      <c r="B1" s="327" t="s">
        <v>1537</v>
      </c>
      <c r="C1" s="329" t="s">
        <v>1540</v>
      </c>
      <c r="D1" s="329" t="s">
        <v>1543</v>
      </c>
      <c r="E1" s="329" t="s">
        <v>1541</v>
      </c>
      <c r="F1" s="329" t="s">
        <v>1544</v>
      </c>
      <c r="G1" s="329" t="s">
        <v>1542</v>
      </c>
      <c r="H1" s="329" t="s">
        <v>1545</v>
      </c>
      <c r="I1" s="329" t="s">
        <v>1535</v>
      </c>
    </row>
    <row r="2" spans="1:9" ht="408" customHeight="1">
      <c r="A2" s="408" t="s">
        <v>1536</v>
      </c>
      <c r="B2" s="327" t="s">
        <v>2</v>
      </c>
      <c r="C2" s="329" t="s">
        <v>1599</v>
      </c>
      <c r="D2" s="330" t="s">
        <v>1597</v>
      </c>
      <c r="E2" s="329" t="s">
        <v>1592</v>
      </c>
      <c r="F2" s="330" t="s">
        <v>1547</v>
      </c>
      <c r="G2" s="329" t="s">
        <v>1598</v>
      </c>
      <c r="H2" s="331" t="s">
        <v>1548</v>
      </c>
      <c r="I2" s="332" t="s">
        <v>1546</v>
      </c>
    </row>
    <row r="3" spans="1:9" ht="356">
      <c r="A3" s="408"/>
      <c r="B3" s="327" t="s">
        <v>1</v>
      </c>
      <c r="C3" s="329" t="s">
        <v>1549</v>
      </c>
      <c r="D3" s="330" t="s">
        <v>1552</v>
      </c>
      <c r="E3" s="329" t="s">
        <v>1554</v>
      </c>
      <c r="F3" s="330" t="s">
        <v>1550</v>
      </c>
      <c r="G3" s="332" t="s">
        <v>1610</v>
      </c>
      <c r="H3" s="331" t="s">
        <v>1551</v>
      </c>
      <c r="I3" s="332" t="s">
        <v>1553</v>
      </c>
    </row>
    <row r="4" spans="1:9" ht="404">
      <c r="A4" s="408"/>
      <c r="B4" s="327" t="s">
        <v>97</v>
      </c>
      <c r="C4" s="329" t="s">
        <v>1555</v>
      </c>
      <c r="D4" s="330" t="s">
        <v>1557</v>
      </c>
      <c r="E4" s="329" t="s">
        <v>1556</v>
      </c>
      <c r="F4" s="330" t="s">
        <v>1558</v>
      </c>
      <c r="G4" s="333" t="s">
        <v>1611</v>
      </c>
      <c r="H4" s="331" t="s">
        <v>1559</v>
      </c>
      <c r="I4" s="332" t="s">
        <v>1562</v>
      </c>
    </row>
    <row r="5" spans="1:9" ht="409" customHeight="1">
      <c r="A5" s="408" t="s">
        <v>1538</v>
      </c>
      <c r="B5" s="327" t="s">
        <v>251</v>
      </c>
      <c r="C5" s="329" t="s">
        <v>1600</v>
      </c>
      <c r="D5" s="330" t="s">
        <v>1612</v>
      </c>
      <c r="E5" s="329" t="s">
        <v>1601</v>
      </c>
      <c r="F5" s="330" t="s">
        <v>1560</v>
      </c>
      <c r="G5" s="333" t="s">
        <v>1602</v>
      </c>
      <c r="H5" s="331" t="s">
        <v>1561</v>
      </c>
      <c r="I5" s="332" t="s">
        <v>1553</v>
      </c>
    </row>
    <row r="6" spans="1:9" ht="306">
      <c r="A6" s="408"/>
      <c r="B6" s="327" t="s">
        <v>4</v>
      </c>
      <c r="C6" s="334" t="s">
        <v>1613</v>
      </c>
      <c r="D6" s="330" t="s">
        <v>1563</v>
      </c>
      <c r="E6" s="329" t="s">
        <v>1564</v>
      </c>
      <c r="F6" s="330" t="s">
        <v>1565</v>
      </c>
      <c r="G6" s="329" t="s">
        <v>1566</v>
      </c>
      <c r="H6" s="331" t="s">
        <v>1567</v>
      </c>
    </row>
    <row r="7" spans="1:9" ht="372">
      <c r="A7" s="408"/>
      <c r="B7" s="327" t="s">
        <v>5</v>
      </c>
      <c r="C7" s="329" t="s">
        <v>1603</v>
      </c>
      <c r="D7" s="330" t="s">
        <v>1571</v>
      </c>
      <c r="E7" s="329" t="s">
        <v>1568</v>
      </c>
      <c r="F7" s="330" t="s">
        <v>1569</v>
      </c>
      <c r="G7" s="334" t="s">
        <v>1614</v>
      </c>
      <c r="H7" s="331" t="s">
        <v>1570</v>
      </c>
      <c r="I7" s="332" t="s">
        <v>1572</v>
      </c>
    </row>
    <row r="8" spans="1:9" ht="356">
      <c r="A8" s="408"/>
      <c r="B8" s="327" t="s">
        <v>92</v>
      </c>
      <c r="C8" s="329" t="s">
        <v>1604</v>
      </c>
      <c r="D8" s="330" t="s">
        <v>1574</v>
      </c>
      <c r="E8" s="329" t="s">
        <v>1573</v>
      </c>
      <c r="F8" s="330" t="s">
        <v>1575</v>
      </c>
      <c r="G8" s="329" t="s">
        <v>1605</v>
      </c>
      <c r="H8" s="329" t="s">
        <v>1576</v>
      </c>
    </row>
    <row r="9" spans="1:9" ht="340">
      <c r="A9" s="408" t="s">
        <v>1539</v>
      </c>
      <c r="B9" s="327" t="s">
        <v>3</v>
      </c>
      <c r="C9" s="329" t="s">
        <v>1577</v>
      </c>
      <c r="D9" s="330" t="s">
        <v>1578</v>
      </c>
      <c r="E9" s="329" t="s">
        <v>1591</v>
      </c>
      <c r="F9" s="330" t="s">
        <v>1579</v>
      </c>
      <c r="G9" s="332" t="s">
        <v>1606</v>
      </c>
      <c r="H9" s="331" t="s">
        <v>1594</v>
      </c>
    </row>
    <row r="10" spans="1:9" ht="170">
      <c r="A10" s="408"/>
      <c r="B10" s="327" t="s">
        <v>117</v>
      </c>
      <c r="C10" s="329" t="s">
        <v>1580</v>
      </c>
      <c r="D10" s="330" t="s">
        <v>1582</v>
      </c>
      <c r="E10" s="329" t="s">
        <v>1581</v>
      </c>
      <c r="F10" s="330" t="s">
        <v>1583</v>
      </c>
      <c r="G10" s="329" t="s">
        <v>1607</v>
      </c>
      <c r="H10" s="331" t="s">
        <v>1595</v>
      </c>
    </row>
    <row r="11" spans="1:9" ht="408" customHeight="1">
      <c r="A11" s="408"/>
      <c r="B11" s="327" t="s">
        <v>98</v>
      </c>
      <c r="C11" s="329" t="s">
        <v>1584</v>
      </c>
      <c r="D11" s="330" t="s">
        <v>1587</v>
      </c>
      <c r="E11" s="329" t="s">
        <v>1585</v>
      </c>
      <c r="F11" s="330" t="s">
        <v>1586</v>
      </c>
      <c r="G11" s="329" t="s">
        <v>1608</v>
      </c>
      <c r="H11" s="331" t="s">
        <v>1596</v>
      </c>
    </row>
    <row r="12" spans="1:9" ht="153">
      <c r="A12" s="408"/>
      <c r="B12" s="327" t="s">
        <v>121</v>
      </c>
      <c r="C12" s="329" t="s">
        <v>1590</v>
      </c>
      <c r="D12" s="330" t="s">
        <v>1615</v>
      </c>
      <c r="E12" s="329" t="s">
        <v>1588</v>
      </c>
      <c r="F12" s="330" t="s">
        <v>1589</v>
      </c>
      <c r="G12" s="329" t="s">
        <v>1609</v>
      </c>
      <c r="H12" s="331" t="s">
        <v>1593</v>
      </c>
    </row>
  </sheetData>
  <mergeCells count="3">
    <mergeCell ref="A2:A4"/>
    <mergeCell ref="A5:A8"/>
    <mergeCell ref="A9:A12"/>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1FE14-97FA-694C-98C0-E67BB63CD938}">
  <sheetPr>
    <outlinePr summaryBelow="0" summaryRight="0"/>
  </sheetPr>
  <dimension ref="A1:F1000"/>
  <sheetViews>
    <sheetView zoomScale="116" zoomScaleNormal="90" workbookViewId="0">
      <selection activeCell="B8" sqref="B8"/>
    </sheetView>
  </sheetViews>
  <sheetFormatPr baseColWidth="10" defaultColWidth="12.6640625" defaultRowHeight="15" customHeight="1"/>
  <cols>
    <col min="1" max="1" width="20.33203125" style="123" customWidth="1"/>
    <col min="2" max="2" width="86.6640625" style="123" bestFit="1" customWidth="1"/>
    <col min="3" max="3" width="104.6640625" style="123" customWidth="1"/>
    <col min="4" max="16384" width="12.6640625" style="123"/>
  </cols>
  <sheetData>
    <row r="1" spans="1:6" ht="15.75" customHeight="1">
      <c r="A1" s="420" t="s">
        <v>1437</v>
      </c>
      <c r="B1" s="421"/>
      <c r="C1" s="421"/>
      <c r="D1" s="421"/>
      <c r="E1" s="421"/>
      <c r="F1" s="421"/>
    </row>
    <row r="2" spans="1:6" ht="15.75" customHeight="1" thickBot="1"/>
    <row r="3" spans="1:6" ht="15.75" customHeight="1" thickBot="1">
      <c r="A3" s="175" t="s">
        <v>1052</v>
      </c>
      <c r="B3" s="176"/>
      <c r="D3" s="126"/>
    </row>
    <row r="4" spans="1:6" ht="15.75" customHeight="1">
      <c r="A4" s="177" t="s">
        <v>1051</v>
      </c>
      <c r="B4" s="178" t="s">
        <v>1050</v>
      </c>
    </row>
    <row r="5" spans="1:6" ht="15.75" customHeight="1">
      <c r="A5" s="179" t="s">
        <v>1049</v>
      </c>
      <c r="B5" s="178" t="s">
        <v>1048</v>
      </c>
    </row>
    <row r="6" spans="1:6" ht="15.75" customHeight="1">
      <c r="A6" s="179" t="s">
        <v>1047</v>
      </c>
      <c r="B6" s="180" t="s">
        <v>1046</v>
      </c>
    </row>
    <row r="7" spans="1:6" ht="15.75" customHeight="1">
      <c r="A7" s="179" t="s">
        <v>1045</v>
      </c>
      <c r="B7" s="181" t="s">
        <v>1044</v>
      </c>
    </row>
    <row r="8" spans="1:6" ht="15.75" customHeight="1" thickBot="1">
      <c r="A8" s="182" t="s">
        <v>1043</v>
      </c>
      <c r="B8" s="183" t="s">
        <v>1042</v>
      </c>
    </row>
    <row r="9" spans="1:6" ht="15.75" customHeight="1">
      <c r="C9" s="125"/>
    </row>
    <row r="10" spans="1:6" ht="15.75" customHeight="1">
      <c r="C10" s="125"/>
    </row>
    <row r="11" spans="1:6" ht="15.75" customHeight="1"/>
    <row r="12" spans="1:6" ht="15.75" customHeight="1"/>
    <row r="13" spans="1:6" ht="15.75" customHeight="1"/>
    <row r="14" spans="1:6" ht="15.75" customHeight="1">
      <c r="B14" s="124"/>
    </row>
    <row r="15" spans="1:6" ht="15.75" customHeight="1"/>
    <row r="16" spans="1:6" ht="15.75" customHeight="1">
      <c r="B16" s="124"/>
    </row>
    <row r="17" spans="2:2" ht="15.75" customHeight="1"/>
    <row r="18" spans="2:2" ht="15.75" customHeight="1">
      <c r="B18" s="124"/>
    </row>
    <row r="19" spans="2:2" ht="15.75" customHeight="1"/>
    <row r="20" spans="2:2" ht="15.75" customHeight="1">
      <c r="B20" s="124"/>
    </row>
    <row r="21" spans="2:2" ht="15.75" customHeight="1"/>
    <row r="22" spans="2:2" ht="15.75" customHeight="1">
      <c r="B22" s="124"/>
    </row>
    <row r="23" spans="2:2" ht="15.75" customHeight="1"/>
    <row r="24" spans="2:2" ht="15.75" customHeight="1"/>
    <row r="25" spans="2:2" ht="15.75" customHeight="1"/>
    <row r="26" spans="2:2" ht="15.75" customHeight="1"/>
    <row r="27" spans="2:2" ht="15.75" customHeight="1"/>
    <row r="28" spans="2:2" ht="15.75" customHeight="1"/>
    <row r="29" spans="2:2" ht="15.75" customHeight="1"/>
    <row r="30" spans="2:2" ht="15.75" customHeight="1"/>
    <row r="31" spans="2:2" ht="15.75" customHeight="1"/>
    <row r="32" spans="2: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4B828-1AAA-B44F-95ED-7AA8BD3BA8B6}">
  <sheetPr>
    <outlinePr summaryBelow="0" summaryRight="0"/>
  </sheetPr>
  <dimension ref="A1:F999"/>
  <sheetViews>
    <sheetView zoomScaleNormal="70" workbookViewId="0">
      <selection activeCell="B4" sqref="B4"/>
    </sheetView>
  </sheetViews>
  <sheetFormatPr baseColWidth="10" defaultColWidth="12.6640625" defaultRowHeight="15" customHeight="1"/>
  <cols>
    <col min="1" max="1" width="31.6640625" style="120" customWidth="1"/>
    <col min="2" max="2" width="100.33203125" style="120" customWidth="1"/>
    <col min="3" max="3" width="14.83203125" style="120" customWidth="1"/>
    <col min="4" max="4" width="16.1640625" style="120" customWidth="1"/>
    <col min="5" max="16384" width="12.6640625" style="120"/>
  </cols>
  <sheetData>
    <row r="1" spans="1:6" ht="15.75" customHeight="1">
      <c r="A1" s="422" t="s">
        <v>1041</v>
      </c>
      <c r="B1" s="423"/>
      <c r="C1" s="423"/>
      <c r="D1" s="423"/>
      <c r="E1" s="423"/>
      <c r="F1" s="423"/>
    </row>
    <row r="2" spans="1:6" ht="15.75" customHeight="1" thickBot="1">
      <c r="A2" s="170"/>
      <c r="B2" s="170"/>
      <c r="C2" s="170"/>
      <c r="D2" s="170"/>
      <c r="E2" s="170"/>
      <c r="F2" s="170"/>
    </row>
    <row r="3" spans="1:6" ht="15.75" customHeight="1" thickBot="1">
      <c r="A3" s="161" t="s">
        <v>1040</v>
      </c>
      <c r="B3" s="162" t="s">
        <v>1039</v>
      </c>
      <c r="C3" s="163" t="s">
        <v>1038</v>
      </c>
      <c r="D3" s="164" t="s">
        <v>1037</v>
      </c>
      <c r="E3" s="170"/>
      <c r="F3" s="170"/>
    </row>
    <row r="4" spans="1:6" ht="68">
      <c r="A4" s="156" t="s">
        <v>1036</v>
      </c>
      <c r="B4" s="158" t="s">
        <v>1035</v>
      </c>
      <c r="C4" s="165">
        <v>758</v>
      </c>
      <c r="D4" s="166">
        <v>45805</v>
      </c>
      <c r="E4" s="170"/>
      <c r="F4" s="170"/>
    </row>
    <row r="5" spans="1:6" ht="34">
      <c r="A5" s="156" t="s">
        <v>1034</v>
      </c>
      <c r="B5" s="159" t="s">
        <v>1033</v>
      </c>
      <c r="C5" s="167" t="s">
        <v>1032</v>
      </c>
      <c r="D5" s="166">
        <v>45805</v>
      </c>
      <c r="E5" s="170"/>
      <c r="F5" s="170"/>
    </row>
    <row r="6" spans="1:6" ht="35" thickBot="1">
      <c r="A6" s="157" t="s">
        <v>1031</v>
      </c>
      <c r="B6" s="160" t="s">
        <v>1030</v>
      </c>
      <c r="C6" s="168" t="s">
        <v>1029</v>
      </c>
      <c r="D6" s="169">
        <v>45805</v>
      </c>
      <c r="E6" s="170"/>
      <c r="F6" s="170"/>
    </row>
    <row r="7" spans="1:6" ht="15.75" customHeight="1">
      <c r="A7" s="170"/>
      <c r="B7" s="170"/>
      <c r="C7" s="170"/>
      <c r="D7" s="170"/>
      <c r="E7" s="170"/>
      <c r="F7" s="170"/>
    </row>
    <row r="8" spans="1:6" ht="15.75" customHeight="1">
      <c r="A8" s="170"/>
      <c r="B8" s="170"/>
      <c r="C8" s="170"/>
      <c r="D8" s="170"/>
      <c r="E8" s="170"/>
      <c r="F8" s="170"/>
    </row>
    <row r="9" spans="1:6" ht="15.75" customHeight="1">
      <c r="A9" s="170"/>
      <c r="B9" s="170"/>
      <c r="C9" s="170"/>
      <c r="D9" s="170"/>
      <c r="E9" s="170"/>
      <c r="F9" s="170"/>
    </row>
    <row r="10" spans="1:6" ht="15.75" customHeight="1">
      <c r="A10" s="170"/>
      <c r="B10" s="170"/>
      <c r="C10" s="171">
        <f>(C4+C5+C6)</f>
        <v>1599</v>
      </c>
      <c r="D10" s="170"/>
      <c r="E10" s="170"/>
      <c r="F10" s="170"/>
    </row>
    <row r="11" spans="1:6" ht="15.75" customHeight="1"/>
    <row r="12" spans="1:6" ht="15.75" customHeight="1"/>
    <row r="13" spans="1:6" ht="15.75" customHeight="1"/>
    <row r="14" spans="1:6" ht="63.75" customHeight="1">
      <c r="A14" s="122"/>
      <c r="B14" s="122"/>
    </row>
    <row r="15" spans="1:6" ht="15.75" customHeight="1"/>
    <row r="16" spans="1:6" ht="15.75" customHeight="1">
      <c r="A16" s="121"/>
      <c r="B16" s="12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F1"/>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035CB-13E8-7C45-8A5B-8F0776E362E4}">
  <dimension ref="A1:F10"/>
  <sheetViews>
    <sheetView zoomScale="90" zoomScaleNormal="90" workbookViewId="0">
      <selection activeCell="B6" sqref="B6"/>
    </sheetView>
  </sheetViews>
  <sheetFormatPr baseColWidth="10" defaultRowHeight="14"/>
  <cols>
    <col min="1" max="1" width="20.5" style="127" customWidth="1"/>
    <col min="2" max="2" width="46.5" style="127" customWidth="1"/>
    <col min="3" max="3" width="45.6640625" style="127" customWidth="1"/>
    <col min="4" max="16384" width="10.83203125" style="127"/>
  </cols>
  <sheetData>
    <row r="1" spans="1:6">
      <c r="A1" s="424" t="s">
        <v>1427</v>
      </c>
      <c r="B1" s="424"/>
      <c r="C1" s="424"/>
      <c r="D1" s="424"/>
      <c r="E1" s="424"/>
      <c r="F1" s="424"/>
    </row>
    <row r="2" spans="1:6" ht="15" thickBot="1"/>
    <row r="3" spans="1:6" ht="15" thickBot="1">
      <c r="A3" s="192" t="s">
        <v>1076</v>
      </c>
      <c r="B3" s="193" t="s">
        <v>1075</v>
      </c>
      <c r="C3" s="194" t="s">
        <v>1074</v>
      </c>
    </row>
    <row r="4" spans="1:6" ht="75">
      <c r="A4" s="184" t="s">
        <v>1073</v>
      </c>
      <c r="B4" s="185" t="s">
        <v>1072</v>
      </c>
      <c r="C4" s="186" t="s">
        <v>1071</v>
      </c>
    </row>
    <row r="5" spans="1:6" ht="18" customHeight="1">
      <c r="A5" s="184" t="s">
        <v>1070</v>
      </c>
      <c r="B5" s="187" t="s">
        <v>1069</v>
      </c>
      <c r="C5" s="188" t="s">
        <v>1068</v>
      </c>
    </row>
    <row r="6" spans="1:6" ht="45">
      <c r="A6" s="184" t="s">
        <v>1067</v>
      </c>
      <c r="B6" s="185" t="s">
        <v>1066</v>
      </c>
      <c r="C6" s="186" t="s">
        <v>1065</v>
      </c>
    </row>
    <row r="7" spans="1:6" ht="30">
      <c r="A7" s="184" t="s">
        <v>1064</v>
      </c>
      <c r="B7" s="195" t="s">
        <v>1063</v>
      </c>
      <c r="C7" s="186" t="s">
        <v>1062</v>
      </c>
    </row>
    <row r="8" spans="1:6" ht="30">
      <c r="A8" s="184" t="s">
        <v>1061</v>
      </c>
      <c r="B8" s="187" t="s">
        <v>1060</v>
      </c>
      <c r="C8" s="186" t="s">
        <v>1059</v>
      </c>
    </row>
    <row r="9" spans="1:6" ht="45">
      <c r="A9" s="184" t="s">
        <v>1058</v>
      </c>
      <c r="B9" s="185" t="s">
        <v>1057</v>
      </c>
      <c r="C9" s="186" t="s">
        <v>1056</v>
      </c>
    </row>
    <row r="10" spans="1:6" ht="31" thickBot="1">
      <c r="A10" s="189" t="s">
        <v>1055</v>
      </c>
      <c r="B10" s="190" t="s">
        <v>1054</v>
      </c>
      <c r="C10" s="191" t="s">
        <v>1053</v>
      </c>
    </row>
  </sheetData>
  <mergeCells count="1">
    <mergeCell ref="A1:F1"/>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957DB-5305-C942-81CB-3442DF3827D4}">
  <dimension ref="A1:H57"/>
  <sheetViews>
    <sheetView zoomScale="90" zoomScaleNormal="90" workbookViewId="0">
      <selection activeCell="D36" sqref="D36"/>
    </sheetView>
  </sheetViews>
  <sheetFormatPr baseColWidth="10" defaultRowHeight="14"/>
  <cols>
    <col min="1" max="1" width="39" style="128" bestFit="1" customWidth="1"/>
    <col min="2" max="2" width="25.5" style="128" customWidth="1"/>
    <col min="3" max="4" width="9.5" style="128" bestFit="1" customWidth="1"/>
    <col min="5" max="5" width="13" style="128" bestFit="1" customWidth="1"/>
    <col min="6" max="16384" width="10.83203125" style="128"/>
  </cols>
  <sheetData>
    <row r="1" spans="1:8" ht="17" thickBot="1">
      <c r="A1" s="152" t="s">
        <v>1014</v>
      </c>
      <c r="B1" s="153" t="s">
        <v>25</v>
      </c>
      <c r="C1" s="154" t="s">
        <v>1095</v>
      </c>
      <c r="D1" s="154" t="s">
        <v>1093</v>
      </c>
      <c r="E1" s="155" t="s">
        <v>1616</v>
      </c>
      <c r="F1" s="133"/>
      <c r="G1" s="172" t="s">
        <v>1095</v>
      </c>
      <c r="H1" s="174" t="s">
        <v>1094</v>
      </c>
    </row>
    <row r="2" spans="1:8" ht="17">
      <c r="A2" s="137" t="s">
        <v>1016</v>
      </c>
      <c r="B2" s="138" t="s">
        <v>360</v>
      </c>
      <c r="C2" s="139" t="s">
        <v>1078</v>
      </c>
      <c r="D2" s="140" t="s">
        <v>1078</v>
      </c>
      <c r="E2" s="141" t="s">
        <v>1078</v>
      </c>
      <c r="F2" s="133"/>
      <c r="G2" s="172" t="s">
        <v>1093</v>
      </c>
      <c r="H2" s="174" t="s">
        <v>1092</v>
      </c>
    </row>
    <row r="3" spans="1:8" ht="17">
      <c r="A3" s="137" t="s">
        <v>1091</v>
      </c>
      <c r="B3" s="138" t="s">
        <v>30</v>
      </c>
      <c r="C3" s="139" t="s">
        <v>1078</v>
      </c>
      <c r="D3" s="140" t="s">
        <v>1077</v>
      </c>
      <c r="E3" s="141" t="s">
        <v>1077</v>
      </c>
      <c r="F3" s="133"/>
      <c r="G3" s="133"/>
      <c r="H3" s="134"/>
    </row>
    <row r="4" spans="1:8" ht="17">
      <c r="A4" s="142" t="s">
        <v>1090</v>
      </c>
      <c r="B4" s="138" t="s">
        <v>41</v>
      </c>
      <c r="C4" s="139" t="s">
        <v>1078</v>
      </c>
      <c r="D4" s="139" t="s">
        <v>1078</v>
      </c>
      <c r="E4" s="141" t="s">
        <v>1078</v>
      </c>
      <c r="F4" s="133"/>
      <c r="G4" s="133"/>
      <c r="H4" s="134"/>
    </row>
    <row r="5" spans="1:8" ht="17">
      <c r="A5" s="137" t="s">
        <v>1089</v>
      </c>
      <c r="B5" s="138" t="s">
        <v>91</v>
      </c>
      <c r="C5" s="140" t="s">
        <v>1077</v>
      </c>
      <c r="D5" s="140" t="s">
        <v>1077</v>
      </c>
      <c r="E5" s="141" t="s">
        <v>1077</v>
      </c>
      <c r="F5" s="133"/>
      <c r="G5" s="133"/>
      <c r="H5" s="134"/>
    </row>
    <row r="6" spans="1:8" ht="17">
      <c r="A6" s="137" t="s">
        <v>1088</v>
      </c>
      <c r="B6" s="138" t="s">
        <v>95</v>
      </c>
      <c r="C6" s="143" t="s">
        <v>1078</v>
      </c>
      <c r="D6" s="143" t="s">
        <v>1078</v>
      </c>
      <c r="E6" s="141" t="s">
        <v>1078</v>
      </c>
      <c r="F6" s="133"/>
      <c r="G6" s="133"/>
      <c r="H6" s="134"/>
    </row>
    <row r="7" spans="1:8" ht="17">
      <c r="A7" s="137" t="s">
        <v>1021</v>
      </c>
      <c r="B7" s="138" t="s">
        <v>116</v>
      </c>
      <c r="C7" s="139" t="s">
        <v>1078</v>
      </c>
      <c r="D7" s="140" t="s">
        <v>1078</v>
      </c>
      <c r="E7" s="141" t="s">
        <v>1078</v>
      </c>
      <c r="F7" s="133"/>
      <c r="G7" s="133"/>
      <c r="H7" s="134"/>
    </row>
    <row r="8" spans="1:8" ht="17">
      <c r="A8" s="137" t="s">
        <v>1015</v>
      </c>
      <c r="B8" s="138" t="s">
        <v>262</v>
      </c>
      <c r="C8" s="139" t="s">
        <v>1078</v>
      </c>
      <c r="D8" s="140" t="s">
        <v>1078</v>
      </c>
      <c r="E8" s="141" t="s">
        <v>1078</v>
      </c>
      <c r="F8" s="133"/>
      <c r="G8" s="133"/>
      <c r="H8" s="134"/>
    </row>
    <row r="9" spans="1:8" ht="16">
      <c r="A9" s="137" t="s">
        <v>1020</v>
      </c>
      <c r="B9" s="140" t="s">
        <v>270</v>
      </c>
      <c r="C9" s="139" t="s">
        <v>1078</v>
      </c>
      <c r="D9" s="140" t="s">
        <v>1078</v>
      </c>
      <c r="E9" s="141" t="s">
        <v>1078</v>
      </c>
      <c r="F9" s="133"/>
      <c r="G9" s="133"/>
      <c r="H9" s="134"/>
    </row>
    <row r="10" spans="1:8" ht="16">
      <c r="A10" s="137" t="s">
        <v>1087</v>
      </c>
      <c r="B10" s="140" t="s">
        <v>286</v>
      </c>
      <c r="C10" s="143" t="s">
        <v>1078</v>
      </c>
      <c r="D10" s="143" t="s">
        <v>1078</v>
      </c>
      <c r="E10" s="141" t="s">
        <v>1078</v>
      </c>
      <c r="F10" s="133"/>
      <c r="G10" s="133"/>
      <c r="H10" s="134"/>
    </row>
    <row r="11" spans="1:8" ht="17">
      <c r="A11" s="137" t="s">
        <v>1018</v>
      </c>
      <c r="B11" s="138" t="s">
        <v>299</v>
      </c>
      <c r="C11" s="139" t="s">
        <v>1078</v>
      </c>
      <c r="D11" s="140" t="s">
        <v>1078</v>
      </c>
      <c r="E11" s="141" t="s">
        <v>1078</v>
      </c>
      <c r="F11" s="133"/>
      <c r="G11" s="133"/>
      <c r="H11" s="134"/>
    </row>
    <row r="12" spans="1:8" ht="17">
      <c r="A12" s="137" t="s">
        <v>1086</v>
      </c>
      <c r="B12" s="138" t="s">
        <v>302</v>
      </c>
      <c r="C12" s="139" t="s">
        <v>1078</v>
      </c>
      <c r="D12" s="140" t="s">
        <v>1077</v>
      </c>
      <c r="E12" s="141" t="s">
        <v>1077</v>
      </c>
      <c r="F12" s="133"/>
      <c r="G12" s="133"/>
      <c r="H12" s="134"/>
    </row>
    <row r="13" spans="1:8" ht="17">
      <c r="A13" s="137" t="s">
        <v>1017</v>
      </c>
      <c r="B13" s="138" t="s">
        <v>1013</v>
      </c>
      <c r="C13" s="139" t="s">
        <v>1078</v>
      </c>
      <c r="D13" s="140" t="s">
        <v>1078</v>
      </c>
      <c r="E13" s="141" t="s">
        <v>1078</v>
      </c>
      <c r="F13" s="133"/>
      <c r="G13" s="133"/>
      <c r="H13" s="134"/>
    </row>
    <row r="14" spans="1:8" ht="17">
      <c r="A14" s="137" t="s">
        <v>1085</v>
      </c>
      <c r="B14" s="138" t="s">
        <v>319</v>
      </c>
      <c r="C14" s="139" t="s">
        <v>1078</v>
      </c>
      <c r="D14" s="140" t="s">
        <v>1077</v>
      </c>
      <c r="E14" s="141" t="s">
        <v>1077</v>
      </c>
      <c r="F14" s="133"/>
      <c r="G14" s="133"/>
      <c r="H14" s="134"/>
    </row>
    <row r="15" spans="1:8" ht="17">
      <c r="A15" s="137" t="s">
        <v>1084</v>
      </c>
      <c r="B15" s="138" t="s">
        <v>333</v>
      </c>
      <c r="C15" s="139" t="s">
        <v>1078</v>
      </c>
      <c r="D15" s="143" t="s">
        <v>1078</v>
      </c>
      <c r="E15" s="141" t="s">
        <v>1078</v>
      </c>
      <c r="F15" s="133"/>
      <c r="G15" s="133"/>
      <c r="H15" s="134"/>
    </row>
    <row r="16" spans="1:8" ht="17">
      <c r="A16" s="142" t="s">
        <v>955</v>
      </c>
      <c r="B16" s="138" t="s">
        <v>940</v>
      </c>
      <c r="C16" s="140" t="s">
        <v>1078</v>
      </c>
      <c r="D16" s="140" t="s">
        <v>1078</v>
      </c>
      <c r="E16" s="141" t="s">
        <v>1078</v>
      </c>
      <c r="F16" s="133"/>
      <c r="G16" s="133"/>
      <c r="H16" s="134"/>
    </row>
    <row r="17" spans="1:8" ht="17">
      <c r="A17" s="142" t="s">
        <v>1022</v>
      </c>
      <c r="B17" s="138" t="s">
        <v>957</v>
      </c>
      <c r="C17" s="140" t="s">
        <v>1078</v>
      </c>
      <c r="D17" s="140" t="s">
        <v>1078</v>
      </c>
      <c r="E17" s="141" t="s">
        <v>1078</v>
      </c>
      <c r="F17" s="133"/>
      <c r="G17" s="133"/>
      <c r="H17" s="134"/>
    </row>
    <row r="18" spans="1:8" ht="17">
      <c r="A18" s="137" t="s">
        <v>994</v>
      </c>
      <c r="B18" s="138" t="s">
        <v>987</v>
      </c>
      <c r="C18" s="140" t="s">
        <v>1078</v>
      </c>
      <c r="D18" s="140" t="s">
        <v>1078</v>
      </c>
      <c r="E18" s="141" t="s">
        <v>1078</v>
      </c>
      <c r="F18" s="133"/>
      <c r="G18" s="133"/>
      <c r="H18" s="134"/>
    </row>
    <row r="19" spans="1:8" ht="17">
      <c r="A19" s="137" t="s">
        <v>1019</v>
      </c>
      <c r="B19" s="138" t="s">
        <v>995</v>
      </c>
      <c r="C19" s="140" t="s">
        <v>1078</v>
      </c>
      <c r="D19" s="140" t="s">
        <v>1078</v>
      </c>
      <c r="E19" s="141" t="s">
        <v>1078</v>
      </c>
      <c r="F19" s="133"/>
      <c r="G19" s="133"/>
      <c r="H19" s="134"/>
    </row>
    <row r="20" spans="1:8" ht="17">
      <c r="A20" s="137" t="s">
        <v>1081</v>
      </c>
      <c r="B20" s="138" t="s">
        <v>1080</v>
      </c>
      <c r="C20" s="140" t="s">
        <v>1077</v>
      </c>
      <c r="D20" s="140" t="s">
        <v>1077</v>
      </c>
      <c r="E20" s="141" t="s">
        <v>1077</v>
      </c>
      <c r="F20" s="133"/>
      <c r="G20" s="133"/>
      <c r="H20" s="134"/>
    </row>
    <row r="21" spans="1:8" ht="17">
      <c r="A21" s="137" t="s">
        <v>1079</v>
      </c>
      <c r="B21" s="138" t="s">
        <v>248</v>
      </c>
      <c r="C21" s="139" t="s">
        <v>1078</v>
      </c>
      <c r="D21" s="140" t="s">
        <v>1078</v>
      </c>
      <c r="E21" s="141" t="s">
        <v>1078</v>
      </c>
      <c r="F21" s="133"/>
      <c r="G21" s="133"/>
      <c r="H21" s="134"/>
    </row>
    <row r="22" spans="1:8" ht="14" customHeight="1">
      <c r="A22" s="144" t="s">
        <v>1330</v>
      </c>
      <c r="B22" s="135" t="s">
        <v>1333</v>
      </c>
      <c r="C22" s="139" t="s">
        <v>1078</v>
      </c>
      <c r="D22" s="140" t="s">
        <v>1078</v>
      </c>
      <c r="E22" s="141" t="s">
        <v>1078</v>
      </c>
      <c r="F22" s="133"/>
      <c r="G22" s="133"/>
      <c r="H22" s="134"/>
    </row>
    <row r="23" spans="1:8" ht="14" customHeight="1">
      <c r="A23" s="145" t="s">
        <v>1425</v>
      </c>
      <c r="B23" s="135" t="s">
        <v>1377</v>
      </c>
      <c r="C23" s="139" t="s">
        <v>1078</v>
      </c>
      <c r="D23" s="140" t="s">
        <v>1078</v>
      </c>
      <c r="E23" s="141" t="s">
        <v>1078</v>
      </c>
      <c r="F23" s="133"/>
      <c r="G23" s="133"/>
      <c r="H23" s="134"/>
    </row>
    <row r="24" spans="1:8" ht="14" customHeight="1">
      <c r="A24" s="146" t="s">
        <v>1357</v>
      </c>
      <c r="B24" s="135" t="s">
        <v>1354</v>
      </c>
      <c r="C24" s="139" t="s">
        <v>1078</v>
      </c>
      <c r="D24" s="140" t="s">
        <v>1078</v>
      </c>
      <c r="E24" s="141" t="s">
        <v>1078</v>
      </c>
      <c r="F24" s="133"/>
      <c r="G24" s="133"/>
      <c r="H24" s="134"/>
    </row>
    <row r="25" spans="1:8" ht="15" customHeight="1">
      <c r="A25" s="146" t="s">
        <v>1309</v>
      </c>
      <c r="B25" s="135" t="s">
        <v>1426</v>
      </c>
      <c r="C25" s="139" t="s">
        <v>1078</v>
      </c>
      <c r="D25" s="140" t="s">
        <v>1078</v>
      </c>
      <c r="E25" s="141" t="s">
        <v>1078</v>
      </c>
      <c r="F25" s="133"/>
      <c r="G25" s="133"/>
      <c r="H25" s="134"/>
    </row>
    <row r="26" spans="1:8" ht="17">
      <c r="A26" s="146" t="s">
        <v>1279</v>
      </c>
      <c r="B26" s="135" t="s">
        <v>1184</v>
      </c>
      <c r="C26" s="139" t="s">
        <v>1078</v>
      </c>
      <c r="D26" s="140" t="s">
        <v>1078</v>
      </c>
      <c r="E26" s="141" t="s">
        <v>1078</v>
      </c>
      <c r="F26" s="133"/>
      <c r="G26" s="133"/>
      <c r="H26" s="134"/>
    </row>
    <row r="27" spans="1:8" ht="16">
      <c r="A27" s="146" t="s">
        <v>1261</v>
      </c>
      <c r="B27" s="136" t="s">
        <v>1257</v>
      </c>
      <c r="C27" s="139" t="s">
        <v>1078</v>
      </c>
      <c r="D27" s="140" t="s">
        <v>1078</v>
      </c>
      <c r="E27" s="141" t="s">
        <v>1078</v>
      </c>
      <c r="F27" s="133"/>
      <c r="G27" s="133"/>
      <c r="H27" s="134"/>
    </row>
    <row r="28" spans="1:8" ht="16">
      <c r="A28" s="146" t="s">
        <v>1260</v>
      </c>
      <c r="B28" s="136" t="s">
        <v>1242</v>
      </c>
      <c r="C28" s="139" t="s">
        <v>1078</v>
      </c>
      <c r="D28" s="140" t="s">
        <v>1078</v>
      </c>
      <c r="E28" s="141" t="s">
        <v>1078</v>
      </c>
      <c r="F28" s="133"/>
      <c r="G28" s="133"/>
      <c r="H28" s="134"/>
    </row>
    <row r="29" spans="1:8" ht="16">
      <c r="A29" s="146" t="s">
        <v>1229</v>
      </c>
      <c r="B29" s="136" t="s">
        <v>1228</v>
      </c>
      <c r="C29" s="139" t="s">
        <v>1078</v>
      </c>
      <c r="D29" s="140" t="s">
        <v>1078</v>
      </c>
      <c r="E29" s="141" t="s">
        <v>1078</v>
      </c>
      <c r="F29" s="133"/>
      <c r="G29" s="133"/>
      <c r="H29" s="134"/>
    </row>
    <row r="30" spans="1:8" ht="16">
      <c r="A30" s="147" t="s">
        <v>1411</v>
      </c>
      <c r="B30" s="136" t="s">
        <v>1402</v>
      </c>
      <c r="C30" s="139" t="s">
        <v>1078</v>
      </c>
      <c r="D30" s="140" t="s">
        <v>1078</v>
      </c>
      <c r="E30" s="141" t="s">
        <v>1078</v>
      </c>
      <c r="F30" s="133"/>
      <c r="G30" s="133"/>
      <c r="H30" s="134"/>
    </row>
    <row r="31" spans="1:8" ht="16">
      <c r="A31" s="147" t="s">
        <v>1393</v>
      </c>
      <c r="B31" s="136" t="s">
        <v>1391</v>
      </c>
      <c r="C31" s="139" t="s">
        <v>1078</v>
      </c>
      <c r="D31" s="140" t="s">
        <v>1078</v>
      </c>
      <c r="E31" s="141" t="s">
        <v>1078</v>
      </c>
      <c r="F31" s="133"/>
      <c r="G31" s="133"/>
      <c r="H31" s="134"/>
    </row>
    <row r="32" spans="1:8" ht="16">
      <c r="A32" s="146" t="s">
        <v>1414</v>
      </c>
      <c r="B32" s="136" t="s">
        <v>1412</v>
      </c>
      <c r="C32" s="139" t="s">
        <v>1078</v>
      </c>
      <c r="D32" s="140" t="s">
        <v>1078</v>
      </c>
      <c r="E32" s="141" t="s">
        <v>1078</v>
      </c>
      <c r="F32" s="133"/>
      <c r="G32" s="133"/>
      <c r="H32" s="134"/>
    </row>
    <row r="33" spans="1:8" ht="17" thickBot="1">
      <c r="A33" s="148" t="s">
        <v>1083</v>
      </c>
      <c r="B33" s="149" t="s">
        <v>1082</v>
      </c>
      <c r="C33" s="150" t="s">
        <v>1078</v>
      </c>
      <c r="D33" s="150" t="s">
        <v>1078</v>
      </c>
      <c r="E33" s="151" t="s">
        <v>1078</v>
      </c>
      <c r="F33" s="133"/>
      <c r="G33" s="133"/>
      <c r="H33" s="134"/>
    </row>
    <row r="34" spans="1:8" ht="16">
      <c r="A34" s="133"/>
      <c r="B34" s="133"/>
      <c r="C34" s="133"/>
      <c r="D34" s="133"/>
      <c r="E34" s="133"/>
      <c r="F34" s="133"/>
      <c r="G34" s="133"/>
      <c r="H34" s="134"/>
    </row>
    <row r="35" spans="1:8" ht="16">
      <c r="A35" s="133"/>
      <c r="B35" s="133"/>
      <c r="C35" s="133"/>
      <c r="D35" s="133"/>
      <c r="E35" s="133"/>
      <c r="F35" s="133"/>
      <c r="G35" s="133"/>
      <c r="H35" s="134"/>
    </row>
    <row r="36" spans="1:8" ht="153">
      <c r="A36" s="173" t="s">
        <v>1617</v>
      </c>
      <c r="B36" s="133"/>
      <c r="C36" s="133"/>
      <c r="D36" s="133"/>
      <c r="E36" s="133"/>
      <c r="F36" s="133"/>
      <c r="G36" s="129"/>
    </row>
    <row r="37" spans="1:8">
      <c r="A37" s="129"/>
      <c r="B37" s="129"/>
      <c r="C37" s="129"/>
      <c r="D37" s="129"/>
      <c r="E37" s="129"/>
      <c r="F37" s="129"/>
      <c r="G37" s="129"/>
    </row>
    <row r="38" spans="1:8">
      <c r="A38" s="129"/>
      <c r="B38" s="129"/>
      <c r="C38" s="129"/>
      <c r="D38" s="129"/>
      <c r="E38" s="129"/>
      <c r="F38" s="129"/>
      <c r="G38" s="129"/>
    </row>
    <row r="39" spans="1:8">
      <c r="A39" s="129"/>
      <c r="B39" s="129"/>
      <c r="C39" s="129"/>
      <c r="D39" s="129"/>
      <c r="E39" s="129"/>
      <c r="F39" s="129"/>
      <c r="G39" s="129"/>
    </row>
    <row r="40" spans="1:8">
      <c r="A40" s="129"/>
      <c r="B40" s="129"/>
      <c r="C40" s="129"/>
      <c r="D40" s="129"/>
      <c r="E40" s="129"/>
      <c r="F40" s="129"/>
      <c r="G40" s="129"/>
    </row>
    <row r="41" spans="1:8">
      <c r="A41" s="129"/>
      <c r="B41" s="129"/>
      <c r="C41" s="129"/>
      <c r="D41" s="129"/>
      <c r="E41" s="129"/>
      <c r="F41" s="129"/>
      <c r="G41" s="129"/>
    </row>
    <row r="42" spans="1:8">
      <c r="A42" s="129"/>
      <c r="B42" s="129"/>
      <c r="C42" s="129"/>
      <c r="D42" s="129"/>
      <c r="E42" s="129"/>
      <c r="F42" s="129"/>
      <c r="G42" s="129"/>
    </row>
    <row r="43" spans="1:8">
      <c r="A43" s="129"/>
      <c r="B43" s="129"/>
      <c r="C43" s="129"/>
      <c r="D43" s="129"/>
      <c r="E43" s="129"/>
      <c r="F43" s="129"/>
      <c r="G43" s="129"/>
    </row>
    <row r="44" spans="1:8">
      <c r="A44" s="129"/>
      <c r="B44" s="129"/>
      <c r="C44" s="129"/>
      <c r="D44" s="129"/>
      <c r="E44" s="129"/>
      <c r="F44" s="129"/>
      <c r="G44" s="129"/>
    </row>
    <row r="45" spans="1:8">
      <c r="A45" s="129"/>
      <c r="B45" s="129"/>
      <c r="C45" s="129"/>
      <c r="D45" s="129"/>
      <c r="E45" s="129"/>
      <c r="F45" s="129"/>
      <c r="G45" s="129"/>
    </row>
    <row r="46" spans="1:8">
      <c r="A46" s="129"/>
      <c r="B46" s="129"/>
      <c r="C46" s="129"/>
      <c r="D46" s="129"/>
      <c r="E46" s="129"/>
      <c r="F46" s="129"/>
      <c r="G46" s="129"/>
    </row>
    <row r="47" spans="1:8">
      <c r="A47" s="129"/>
      <c r="B47" s="129"/>
      <c r="C47" s="129"/>
      <c r="D47" s="129"/>
      <c r="E47" s="129"/>
      <c r="F47" s="129"/>
      <c r="G47" s="129"/>
    </row>
    <row r="48" spans="1:8">
      <c r="A48" s="129"/>
      <c r="B48" s="129"/>
      <c r="C48" s="129"/>
      <c r="D48" s="129"/>
      <c r="E48" s="129"/>
      <c r="F48" s="129"/>
      <c r="G48" s="129"/>
    </row>
    <row r="49" spans="1:7">
      <c r="A49" s="129"/>
      <c r="B49" s="129"/>
      <c r="C49" s="129"/>
      <c r="D49" s="129"/>
      <c r="E49" s="129"/>
      <c r="F49" s="129"/>
      <c r="G49" s="129"/>
    </row>
    <row r="50" spans="1:7">
      <c r="A50" s="129"/>
      <c r="B50" s="129"/>
      <c r="C50" s="129"/>
      <c r="D50" s="129"/>
      <c r="E50" s="129"/>
      <c r="F50" s="129"/>
      <c r="G50" s="129"/>
    </row>
    <row r="51" spans="1:7">
      <c r="A51" s="129"/>
      <c r="B51" s="129"/>
      <c r="C51" s="129"/>
      <c r="D51" s="129"/>
      <c r="E51" s="129"/>
      <c r="F51" s="129"/>
      <c r="G51" s="129"/>
    </row>
    <row r="52" spans="1:7">
      <c r="A52" s="129"/>
      <c r="B52" s="129"/>
      <c r="C52" s="129"/>
      <c r="D52" s="129"/>
      <c r="E52" s="129"/>
      <c r="F52" s="129"/>
      <c r="G52" s="129"/>
    </row>
    <row r="53" spans="1:7">
      <c r="A53" s="129"/>
      <c r="B53" s="129"/>
      <c r="C53" s="129"/>
      <c r="D53" s="129"/>
      <c r="E53" s="129"/>
      <c r="F53" s="129"/>
      <c r="G53" s="129"/>
    </row>
    <row r="54" spans="1:7">
      <c r="A54" s="129"/>
      <c r="B54" s="129"/>
      <c r="C54" s="129"/>
      <c r="D54" s="129"/>
      <c r="E54" s="129"/>
      <c r="F54" s="129"/>
      <c r="G54" s="129"/>
    </row>
    <row r="55" spans="1:7">
      <c r="A55" s="129"/>
      <c r="B55" s="129"/>
      <c r="C55" s="129"/>
      <c r="D55" s="129"/>
      <c r="E55" s="129"/>
      <c r="F55" s="129"/>
      <c r="G55" s="129"/>
    </row>
    <row r="56" spans="1:7">
      <c r="A56" s="129"/>
      <c r="B56" s="129"/>
      <c r="C56" s="129"/>
      <c r="D56" s="129"/>
      <c r="E56" s="129"/>
      <c r="F56" s="129"/>
      <c r="G56" s="129"/>
    </row>
    <row r="57" spans="1:7">
      <c r="A57" s="129"/>
      <c r="B57" s="129"/>
      <c r="C57" s="129"/>
      <c r="D57" s="129"/>
      <c r="E57" s="129"/>
      <c r="F57" s="129"/>
    </row>
  </sheetData>
  <hyperlinks>
    <hyperlink ref="A4" r:id="rId1" xr:uid="{62253D3A-5D39-6D4D-BA95-AC979C9B4D88}"/>
    <hyperlink ref="A16" r:id="rId2" xr:uid="{A08EFD80-66F1-D64D-BC03-AEB9331C0D5A}"/>
    <hyperlink ref="A17" r:id="rId3" xr:uid="{B6C2AD7E-0A47-E040-9B4E-5DF02F85B2D5}"/>
    <hyperlink ref="A30" r:id="rId4" xr:uid="{ADFC042E-1D10-3241-8401-057CF23B9325}"/>
    <hyperlink ref="A31" r:id="rId5" xr:uid="{849B9D7F-1FC1-4D43-86C8-D7EB4A7AEDC4}"/>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03653-6CF0-9D49-A54B-DBA5ECC2530D}">
  <dimension ref="A2:GY52"/>
  <sheetViews>
    <sheetView tabSelected="1" zoomScale="50" workbookViewId="0">
      <selection activeCell="H16" sqref="H16"/>
    </sheetView>
  </sheetViews>
  <sheetFormatPr baseColWidth="10" defaultRowHeight="16"/>
  <cols>
    <col min="1" max="1" width="21" style="493" customWidth="1"/>
    <col min="2" max="2" width="17.5" style="493" bestFit="1" customWidth="1"/>
    <col min="3" max="3" width="10.83203125" style="493"/>
    <col min="4" max="4" width="30.83203125" style="493" bestFit="1" customWidth="1"/>
    <col min="5" max="5" width="24.33203125" style="493" bestFit="1" customWidth="1"/>
    <col min="6" max="7" width="10.83203125" style="493"/>
    <col min="8" max="8" width="26.83203125" style="493" bestFit="1" customWidth="1"/>
    <col min="9" max="9" width="13" style="493" customWidth="1"/>
    <col min="10" max="10" width="7" style="493" bestFit="1" customWidth="1"/>
    <col min="11" max="11" width="8.1640625" style="493" bestFit="1" customWidth="1"/>
    <col min="12" max="12" width="6.6640625" style="493" bestFit="1" customWidth="1"/>
    <col min="13" max="14" width="8.1640625" style="493" bestFit="1" customWidth="1"/>
    <col min="15" max="15" width="17.5" style="493" bestFit="1" customWidth="1"/>
    <col min="16" max="16" width="16.5" style="493" bestFit="1" customWidth="1"/>
    <col min="17" max="17" width="30.83203125" style="493" bestFit="1" customWidth="1"/>
    <col min="18" max="18" width="24.33203125" style="493" bestFit="1" customWidth="1"/>
    <col min="19" max="20" width="10.83203125" style="493"/>
    <col min="21" max="21" width="11.5" style="493" bestFit="1" customWidth="1"/>
    <col min="22" max="28" width="10.83203125" style="493"/>
    <col min="29" max="29" width="20.1640625" style="493" bestFit="1" customWidth="1"/>
    <col min="30" max="35" width="10.83203125" style="493"/>
    <col min="36" max="36" width="17.5" style="493" bestFit="1" customWidth="1"/>
    <col min="37" max="37" width="16.5" style="493" bestFit="1" customWidth="1"/>
    <col min="38" max="38" width="31.5" style="493" bestFit="1" customWidth="1"/>
    <col min="39" max="39" width="24.33203125" style="493" bestFit="1" customWidth="1"/>
    <col min="40" max="41" width="10.83203125" style="493"/>
    <col min="42" max="42" width="11.5" style="493" bestFit="1" customWidth="1"/>
    <col min="43" max="46" width="10.83203125" style="493"/>
    <col min="47" max="47" width="19.1640625" style="493" customWidth="1"/>
    <col min="48" max="48" width="10.83203125" style="493"/>
    <col min="49" max="49" width="20.1640625" style="493" bestFit="1" customWidth="1"/>
    <col min="50" max="55" width="10.83203125" style="493"/>
    <col min="56" max="56" width="13.83203125" style="493" bestFit="1" customWidth="1"/>
    <col min="57" max="57" width="16.5" style="493" bestFit="1" customWidth="1"/>
    <col min="58" max="58" width="10.83203125" style="493"/>
    <col min="59" max="59" width="24.33203125" style="493" bestFit="1" customWidth="1"/>
    <col min="60" max="61" width="10.83203125" style="493"/>
    <col min="62" max="62" width="11.5" style="493" bestFit="1" customWidth="1"/>
    <col min="63" max="66" width="10.83203125" style="493"/>
    <col min="67" max="67" width="17.33203125" style="493" customWidth="1"/>
    <col min="68" max="68" width="10.83203125" style="493"/>
    <col min="69" max="69" width="18" style="493" bestFit="1" customWidth="1"/>
    <col min="70" max="75" width="10.83203125" style="493"/>
    <col min="76" max="76" width="15.83203125" style="493" bestFit="1" customWidth="1"/>
    <col min="77" max="77" width="16.5" style="493" bestFit="1" customWidth="1"/>
    <col min="78" max="78" width="8" style="493" bestFit="1" customWidth="1"/>
    <col min="79" max="79" width="24.33203125" style="493" bestFit="1" customWidth="1"/>
    <col min="80" max="81" width="10.83203125" style="493"/>
    <col min="82" max="82" width="11.5" style="493" bestFit="1" customWidth="1"/>
    <col min="83" max="86" width="10.83203125" style="493"/>
    <col min="87" max="87" width="19.5" style="493" customWidth="1"/>
    <col min="88" max="88" width="10.83203125" style="493"/>
    <col min="89" max="89" width="20.1640625" style="493" bestFit="1" customWidth="1"/>
    <col min="90" max="95" width="10.83203125" style="493"/>
    <col min="96" max="96" width="13.83203125" style="493" bestFit="1" customWidth="1"/>
    <col min="97" max="97" width="16.5" style="493" bestFit="1" customWidth="1"/>
    <col min="98" max="98" width="8" style="493" bestFit="1" customWidth="1"/>
    <col min="99" max="99" width="24.33203125" style="493" bestFit="1" customWidth="1"/>
    <col min="100" max="101" width="10.83203125" style="493"/>
    <col min="102" max="102" width="11.5" style="493" bestFit="1" customWidth="1"/>
    <col min="103" max="106" width="10.83203125" style="493"/>
    <col min="107" max="107" width="17.5" style="493" customWidth="1"/>
    <col min="108" max="108" width="10.83203125" style="493"/>
    <col min="109" max="109" width="20.1640625" style="493" bestFit="1" customWidth="1"/>
    <col min="110" max="115" width="10.83203125" style="493"/>
    <col min="116" max="116" width="13.83203125" style="493" bestFit="1" customWidth="1"/>
    <col min="117" max="117" width="16.5" style="493" bestFit="1" customWidth="1"/>
    <col min="118" max="118" width="31.5" style="493" bestFit="1" customWidth="1"/>
    <col min="119" max="119" width="24.33203125" style="493" bestFit="1" customWidth="1"/>
    <col min="120" max="120" width="10.83203125" style="493"/>
    <col min="121" max="121" width="6.1640625" style="493" bestFit="1" customWidth="1"/>
    <col min="122" max="122" width="11.5" style="493" bestFit="1" customWidth="1"/>
    <col min="123" max="126" width="10.83203125" style="493"/>
    <col min="127" max="127" width="21.5" style="493" customWidth="1"/>
    <col min="128" max="128" width="10.83203125" style="493"/>
    <col min="129" max="129" width="19.6640625" style="493" bestFit="1" customWidth="1"/>
    <col min="130" max="135" width="10.83203125" style="493"/>
    <col min="136" max="136" width="13.83203125" style="493" bestFit="1" customWidth="1"/>
    <col min="137" max="137" width="16.5" style="493" bestFit="1" customWidth="1"/>
    <col min="138" max="138" width="31.5" style="493" bestFit="1" customWidth="1"/>
    <col min="139" max="139" width="24.33203125" style="493" bestFit="1" customWidth="1"/>
    <col min="140" max="141" width="10.83203125" style="493"/>
    <col min="142" max="142" width="11.5" style="493" bestFit="1" customWidth="1"/>
    <col min="143" max="146" width="10.83203125" style="493"/>
    <col min="147" max="147" width="18" style="493" customWidth="1"/>
    <col min="148" max="148" width="10.83203125" style="493"/>
    <col min="149" max="149" width="26" style="493" bestFit="1" customWidth="1"/>
    <col min="150" max="155" width="10.83203125" style="493"/>
    <col min="156" max="156" width="13.83203125" style="493" bestFit="1" customWidth="1"/>
    <col min="157" max="157" width="17.1640625" style="493" customWidth="1"/>
    <col min="158" max="158" width="31.5" style="493" bestFit="1" customWidth="1"/>
    <col min="159" max="159" width="24.33203125" style="493" bestFit="1" customWidth="1"/>
    <col min="160" max="161" width="10.83203125" style="493"/>
    <col min="162" max="162" width="11.5" style="493" bestFit="1" customWidth="1"/>
    <col min="163" max="166" width="10.83203125" style="493"/>
    <col min="167" max="167" width="15.5" style="493" customWidth="1"/>
    <col min="168" max="168" width="10.83203125" style="493"/>
    <col min="169" max="169" width="26" style="493" bestFit="1" customWidth="1"/>
    <col min="170" max="175" width="10.83203125" style="493"/>
    <col min="176" max="176" width="13.83203125" style="493" bestFit="1" customWidth="1"/>
    <col min="177" max="177" width="21.1640625" style="493" customWidth="1"/>
    <col min="178" max="178" width="31.5" style="493" bestFit="1" customWidth="1"/>
    <col min="179" max="179" width="24.33203125" style="493" bestFit="1" customWidth="1"/>
    <col min="180" max="181" width="10.83203125" style="493"/>
    <col min="182" max="182" width="11.5" style="493" bestFit="1" customWidth="1"/>
    <col min="183" max="186" width="10.83203125" style="493"/>
    <col min="187" max="187" width="18" style="493" customWidth="1"/>
    <col min="188" max="188" width="10.83203125" style="493"/>
    <col min="189" max="189" width="19.33203125" style="493" bestFit="1" customWidth="1"/>
    <col min="190" max="195" width="10.83203125" style="493"/>
    <col min="196" max="196" width="13.83203125" style="493" bestFit="1" customWidth="1"/>
    <col min="197" max="197" width="18" style="493" customWidth="1"/>
    <col min="198" max="198" width="31.5" style="493" bestFit="1" customWidth="1"/>
    <col min="199" max="199" width="24.33203125" style="493" bestFit="1" customWidth="1"/>
    <col min="200" max="201" width="10.83203125" style="493"/>
    <col min="202" max="202" width="11.5" style="493" bestFit="1" customWidth="1"/>
    <col min="203" max="206" width="10.83203125" style="493"/>
    <col min="207" max="207" width="16.6640625" style="493" customWidth="1"/>
    <col min="208" max="16384" width="10.83203125" style="493"/>
  </cols>
  <sheetData>
    <row r="2" spans="1:207" ht="36" customHeight="1">
      <c r="A2" s="507" t="s">
        <v>1695</v>
      </c>
    </row>
    <row r="3" spans="1:207" s="502" customFormat="1" ht="68">
      <c r="A3" s="505" t="s">
        <v>25</v>
      </c>
      <c r="B3" s="506" t="s">
        <v>1681</v>
      </c>
      <c r="C3" s="505" t="s">
        <v>1680</v>
      </c>
      <c r="D3" s="505" t="s">
        <v>1679</v>
      </c>
      <c r="E3" s="505" t="s">
        <v>1678</v>
      </c>
      <c r="F3" s="505" t="s">
        <v>1685</v>
      </c>
      <c r="H3" s="492" t="s">
        <v>1684</v>
      </c>
      <c r="I3" s="491" t="s">
        <v>222</v>
      </c>
      <c r="J3" s="491" t="s">
        <v>223</v>
      </c>
      <c r="K3" s="491" t="s">
        <v>224</v>
      </c>
      <c r="L3" s="491" t="s">
        <v>225</v>
      </c>
      <c r="M3" s="491" t="s">
        <v>226</v>
      </c>
      <c r="N3" s="491" t="s">
        <v>227</v>
      </c>
      <c r="O3" s="504" t="s">
        <v>1681</v>
      </c>
      <c r="P3" s="492" t="s">
        <v>1680</v>
      </c>
      <c r="Q3" s="492" t="s">
        <v>1679</v>
      </c>
      <c r="R3" s="492" t="s">
        <v>1678</v>
      </c>
      <c r="U3" s="504" t="s">
        <v>1677</v>
      </c>
      <c r="V3" s="504" t="s">
        <v>1676</v>
      </c>
      <c r="W3" s="504" t="s">
        <v>1675</v>
      </c>
      <c r="X3" s="504" t="s">
        <v>1674</v>
      </c>
      <c r="Y3" s="504" t="s">
        <v>1673</v>
      </c>
      <c r="Z3" s="504" t="s">
        <v>1672</v>
      </c>
      <c r="AC3" s="501" t="s">
        <v>2</v>
      </c>
      <c r="AD3" s="491" t="s">
        <v>222</v>
      </c>
      <c r="AE3" s="491" t="s">
        <v>223</v>
      </c>
      <c r="AF3" s="491" t="s">
        <v>224</v>
      </c>
      <c r="AG3" s="491" t="s">
        <v>225</v>
      </c>
      <c r="AH3" s="491" t="s">
        <v>226</v>
      </c>
      <c r="AI3" s="491" t="s">
        <v>227</v>
      </c>
      <c r="AJ3" s="504" t="s">
        <v>1681</v>
      </c>
      <c r="AK3" s="492" t="s">
        <v>1680</v>
      </c>
      <c r="AL3" s="492" t="s">
        <v>1679</v>
      </c>
      <c r="AM3" s="492" t="s">
        <v>1678</v>
      </c>
      <c r="AP3" s="503" t="s">
        <v>1677</v>
      </c>
      <c r="AQ3" s="503" t="s">
        <v>1676</v>
      </c>
      <c r="AR3" s="503" t="s">
        <v>1675</v>
      </c>
      <c r="AS3" s="503" t="s">
        <v>1674</v>
      </c>
      <c r="AT3" s="503" t="s">
        <v>1673</v>
      </c>
      <c r="AU3" s="503" t="s">
        <v>1672</v>
      </c>
      <c r="AW3" s="492" t="s">
        <v>3</v>
      </c>
      <c r="AX3" s="491" t="s">
        <v>222</v>
      </c>
      <c r="AY3" s="491" t="s">
        <v>223</v>
      </c>
      <c r="AZ3" s="491" t="s">
        <v>224</v>
      </c>
      <c r="BA3" s="491" t="s">
        <v>225</v>
      </c>
      <c r="BB3" s="491" t="s">
        <v>226</v>
      </c>
      <c r="BC3" s="491" t="s">
        <v>227</v>
      </c>
      <c r="BD3" s="504" t="s">
        <v>1681</v>
      </c>
      <c r="BE3" s="492" t="s">
        <v>1680</v>
      </c>
      <c r="BF3" s="492" t="s">
        <v>1679</v>
      </c>
      <c r="BG3" s="492" t="s">
        <v>1678</v>
      </c>
      <c r="BJ3" s="503" t="s">
        <v>1677</v>
      </c>
      <c r="BK3" s="503" t="s">
        <v>1676</v>
      </c>
      <c r="BL3" s="503" t="s">
        <v>1675</v>
      </c>
      <c r="BM3" s="503" t="s">
        <v>1674</v>
      </c>
      <c r="BN3" s="503" t="s">
        <v>1673</v>
      </c>
      <c r="BO3" s="503" t="s">
        <v>1672</v>
      </c>
      <c r="BQ3" s="492" t="s">
        <v>117</v>
      </c>
      <c r="BR3" s="491" t="s">
        <v>222</v>
      </c>
      <c r="BS3" s="491" t="s">
        <v>223</v>
      </c>
      <c r="BT3" s="491" t="s">
        <v>224</v>
      </c>
      <c r="BU3" s="491" t="s">
        <v>225</v>
      </c>
      <c r="BV3" s="491" t="s">
        <v>226</v>
      </c>
      <c r="BW3" s="491" t="s">
        <v>227</v>
      </c>
      <c r="BX3" s="504" t="s">
        <v>1681</v>
      </c>
      <c r="BY3" s="492" t="s">
        <v>1680</v>
      </c>
      <c r="BZ3" s="492" t="s">
        <v>1679</v>
      </c>
      <c r="CA3" s="492" t="s">
        <v>1678</v>
      </c>
      <c r="CD3" s="503" t="s">
        <v>1677</v>
      </c>
      <c r="CE3" s="503" t="s">
        <v>1676</v>
      </c>
      <c r="CF3" s="503" t="s">
        <v>1675</v>
      </c>
      <c r="CG3" s="503" t="s">
        <v>1674</v>
      </c>
      <c r="CH3" s="503" t="s">
        <v>1673</v>
      </c>
      <c r="CI3" s="503" t="s">
        <v>1672</v>
      </c>
      <c r="CK3" s="492" t="s">
        <v>98</v>
      </c>
      <c r="CL3" s="491" t="s">
        <v>222</v>
      </c>
      <c r="CM3" s="491" t="s">
        <v>223</v>
      </c>
      <c r="CN3" s="491" t="s">
        <v>224</v>
      </c>
      <c r="CO3" s="491" t="s">
        <v>225</v>
      </c>
      <c r="CP3" s="491" t="s">
        <v>226</v>
      </c>
      <c r="CQ3" s="491" t="s">
        <v>227</v>
      </c>
      <c r="CR3" s="504" t="s">
        <v>1681</v>
      </c>
      <c r="CS3" s="492" t="s">
        <v>1680</v>
      </c>
      <c r="CT3" s="492" t="s">
        <v>1679</v>
      </c>
      <c r="CU3" s="492" t="s">
        <v>1678</v>
      </c>
      <c r="CX3" s="503" t="s">
        <v>1677</v>
      </c>
      <c r="CY3" s="503" t="s">
        <v>1676</v>
      </c>
      <c r="CZ3" s="503" t="s">
        <v>1675</v>
      </c>
      <c r="DA3" s="503" t="s">
        <v>1674</v>
      </c>
      <c r="DB3" s="503" t="s">
        <v>1673</v>
      </c>
      <c r="DC3" s="503" t="s">
        <v>1672</v>
      </c>
      <c r="DE3" s="492" t="s">
        <v>121</v>
      </c>
      <c r="DF3" s="491" t="s">
        <v>222</v>
      </c>
      <c r="DG3" s="491" t="s">
        <v>223</v>
      </c>
      <c r="DH3" s="491" t="s">
        <v>224</v>
      </c>
      <c r="DI3" s="491" t="s">
        <v>225</v>
      </c>
      <c r="DJ3" s="491" t="s">
        <v>226</v>
      </c>
      <c r="DK3" s="491" t="s">
        <v>227</v>
      </c>
      <c r="DL3" s="504" t="s">
        <v>1681</v>
      </c>
      <c r="DM3" s="492" t="s">
        <v>1680</v>
      </c>
      <c r="DN3" s="492" t="s">
        <v>1679</v>
      </c>
      <c r="DO3" s="492" t="s">
        <v>1678</v>
      </c>
      <c r="DR3" s="503" t="s">
        <v>1677</v>
      </c>
      <c r="DS3" s="503" t="s">
        <v>1676</v>
      </c>
      <c r="DT3" s="503" t="s">
        <v>1675</v>
      </c>
      <c r="DU3" s="503" t="s">
        <v>1674</v>
      </c>
      <c r="DV3" s="503" t="s">
        <v>1673</v>
      </c>
      <c r="DW3" s="503" t="s">
        <v>1672</v>
      </c>
      <c r="DY3" s="492" t="s">
        <v>1683</v>
      </c>
      <c r="DZ3" s="491" t="s">
        <v>222</v>
      </c>
      <c r="EA3" s="491" t="s">
        <v>223</v>
      </c>
      <c r="EB3" s="491" t="s">
        <v>224</v>
      </c>
      <c r="EC3" s="491" t="s">
        <v>225</v>
      </c>
      <c r="ED3" s="491" t="s">
        <v>226</v>
      </c>
      <c r="EE3" s="491" t="s">
        <v>227</v>
      </c>
      <c r="EF3" s="504" t="s">
        <v>1681</v>
      </c>
      <c r="EG3" s="492" t="s">
        <v>1680</v>
      </c>
      <c r="EH3" s="492" t="s">
        <v>1679</v>
      </c>
      <c r="EI3" s="492" t="s">
        <v>1678</v>
      </c>
      <c r="EL3" s="503" t="s">
        <v>1677</v>
      </c>
      <c r="EM3" s="503" t="s">
        <v>1676</v>
      </c>
      <c r="EN3" s="503" t="s">
        <v>1675</v>
      </c>
      <c r="EO3" s="503" t="s">
        <v>1674</v>
      </c>
      <c r="EP3" s="503" t="s">
        <v>1673</v>
      </c>
      <c r="EQ3" s="503" t="s">
        <v>1672</v>
      </c>
      <c r="ES3" s="511" t="s">
        <v>251</v>
      </c>
      <c r="ET3" s="491" t="s">
        <v>222</v>
      </c>
      <c r="EU3" s="491" t="s">
        <v>223</v>
      </c>
      <c r="EV3" s="491" t="s">
        <v>224</v>
      </c>
      <c r="EW3" s="491" t="s">
        <v>225</v>
      </c>
      <c r="EX3" s="491" t="s">
        <v>226</v>
      </c>
      <c r="EY3" s="491" t="s">
        <v>227</v>
      </c>
      <c r="EZ3" s="504" t="s">
        <v>1681</v>
      </c>
      <c r="FA3" s="492" t="s">
        <v>1680</v>
      </c>
      <c r="FB3" s="492" t="s">
        <v>1679</v>
      </c>
      <c r="FC3" s="492" t="s">
        <v>1678</v>
      </c>
      <c r="FF3" s="503" t="s">
        <v>1677</v>
      </c>
      <c r="FG3" s="503" t="s">
        <v>1676</v>
      </c>
      <c r="FH3" s="503" t="s">
        <v>1675</v>
      </c>
      <c r="FI3" s="503" t="s">
        <v>1674</v>
      </c>
      <c r="FJ3" s="503" t="s">
        <v>1673</v>
      </c>
      <c r="FK3" s="503" t="s">
        <v>1672</v>
      </c>
      <c r="FM3" s="492" t="s">
        <v>4</v>
      </c>
      <c r="FN3" s="491" t="s">
        <v>222</v>
      </c>
      <c r="FO3" s="491" t="s">
        <v>223</v>
      </c>
      <c r="FP3" s="491" t="s">
        <v>224</v>
      </c>
      <c r="FQ3" s="491" t="s">
        <v>225</v>
      </c>
      <c r="FR3" s="491" t="s">
        <v>226</v>
      </c>
      <c r="FS3" s="491" t="s">
        <v>227</v>
      </c>
      <c r="FT3" s="504" t="s">
        <v>1681</v>
      </c>
      <c r="FU3" s="492" t="s">
        <v>1680</v>
      </c>
      <c r="FV3" s="492" t="s">
        <v>1679</v>
      </c>
      <c r="FW3" s="492" t="s">
        <v>1678</v>
      </c>
      <c r="FZ3" s="503" t="s">
        <v>1677</v>
      </c>
      <c r="GA3" s="503" t="s">
        <v>1676</v>
      </c>
      <c r="GB3" s="503" t="s">
        <v>1675</v>
      </c>
      <c r="GC3" s="503" t="s">
        <v>1674</v>
      </c>
      <c r="GD3" s="503" t="s">
        <v>1673</v>
      </c>
      <c r="GE3" s="503" t="s">
        <v>1672</v>
      </c>
      <c r="GG3" s="492" t="s">
        <v>97</v>
      </c>
      <c r="GH3" s="491" t="s">
        <v>222</v>
      </c>
      <c r="GI3" s="491" t="s">
        <v>223</v>
      </c>
      <c r="GJ3" s="491" t="s">
        <v>224</v>
      </c>
      <c r="GK3" s="491" t="s">
        <v>225</v>
      </c>
      <c r="GL3" s="491" t="s">
        <v>226</v>
      </c>
      <c r="GM3" s="491" t="s">
        <v>227</v>
      </c>
      <c r="GN3" s="504" t="s">
        <v>1681</v>
      </c>
      <c r="GO3" s="492" t="s">
        <v>1680</v>
      </c>
      <c r="GP3" s="492" t="s">
        <v>1679</v>
      </c>
      <c r="GQ3" s="492" t="s">
        <v>1678</v>
      </c>
      <c r="GT3" s="503" t="s">
        <v>1677</v>
      </c>
      <c r="GU3" s="503" t="s">
        <v>1676</v>
      </c>
      <c r="GV3" s="503" t="s">
        <v>1675</v>
      </c>
      <c r="GW3" s="503" t="s">
        <v>1674</v>
      </c>
      <c r="GX3" s="503" t="s">
        <v>1673</v>
      </c>
      <c r="GY3" s="503" t="s">
        <v>1672</v>
      </c>
    </row>
    <row r="4" spans="1:207" ht="51">
      <c r="A4" s="497" t="s">
        <v>262</v>
      </c>
      <c r="B4" s="497" t="s">
        <v>1671</v>
      </c>
      <c r="C4" s="497" t="s">
        <v>1687</v>
      </c>
      <c r="D4" s="498" t="s">
        <v>1670</v>
      </c>
      <c r="E4" s="498" t="s">
        <v>1669</v>
      </c>
      <c r="F4" s="494" t="s">
        <v>1668</v>
      </c>
      <c r="H4" s="496" t="s">
        <v>299</v>
      </c>
      <c r="I4" s="495">
        <v>30</v>
      </c>
      <c r="J4" s="495">
        <v>2.331</v>
      </c>
      <c r="K4" s="495">
        <v>1.1839999999999999</v>
      </c>
      <c r="L4" s="495">
        <v>32</v>
      </c>
      <c r="M4" s="495">
        <v>4.8680000000000003</v>
      </c>
      <c r="N4" s="495">
        <v>2.5049999999999999</v>
      </c>
      <c r="O4" s="494" t="s">
        <v>1650</v>
      </c>
      <c r="P4" s="494" t="s">
        <v>1687</v>
      </c>
      <c r="Q4" s="490" t="s">
        <v>1620</v>
      </c>
      <c r="R4" s="490" t="s">
        <v>1642</v>
      </c>
      <c r="T4" s="492" t="s">
        <v>1684</v>
      </c>
      <c r="U4" s="510">
        <v>-0.63</v>
      </c>
      <c r="V4" s="510">
        <v>-1.6</v>
      </c>
      <c r="W4" s="510">
        <v>0.34</v>
      </c>
      <c r="X4" s="510">
        <v>0.20269999999999999</v>
      </c>
      <c r="Y4" s="510">
        <v>0.1062</v>
      </c>
      <c r="Z4" s="509">
        <v>0.97</v>
      </c>
      <c r="AC4" s="496" t="s">
        <v>299</v>
      </c>
      <c r="AD4" s="495">
        <v>30</v>
      </c>
      <c r="AE4" s="495">
        <v>5.9050000000000002</v>
      </c>
      <c r="AF4" s="495">
        <v>2.6549999999999998</v>
      </c>
      <c r="AG4" s="495">
        <v>32</v>
      </c>
      <c r="AH4" s="495">
        <v>5.9530000000000003</v>
      </c>
      <c r="AI4" s="495">
        <v>2.835</v>
      </c>
      <c r="AJ4" s="494" t="s">
        <v>1650</v>
      </c>
      <c r="AK4" s="494" t="s">
        <v>1687</v>
      </c>
      <c r="AL4" s="490" t="s">
        <v>1620</v>
      </c>
      <c r="AM4" s="490" t="s">
        <v>1642</v>
      </c>
      <c r="AO4" s="501" t="s">
        <v>2</v>
      </c>
      <c r="AP4" s="500">
        <v>0.54</v>
      </c>
      <c r="AQ4" s="500">
        <v>-0.92</v>
      </c>
      <c r="AR4" s="500">
        <v>2</v>
      </c>
      <c r="AS4" s="500">
        <v>0.47049999999999997</v>
      </c>
      <c r="AT4" s="500">
        <v>0.92359999999999998</v>
      </c>
      <c r="AU4" s="499">
        <v>0.98</v>
      </c>
      <c r="AW4" s="496" t="s">
        <v>299</v>
      </c>
      <c r="AX4" s="495">
        <v>30</v>
      </c>
      <c r="AY4" s="495">
        <v>19.657</v>
      </c>
      <c r="AZ4" s="495">
        <v>9.6340000000000003</v>
      </c>
      <c r="BA4" s="495">
        <v>32</v>
      </c>
      <c r="BB4" s="495">
        <v>19.829000000000001</v>
      </c>
      <c r="BC4" s="495">
        <v>10.303000000000001</v>
      </c>
      <c r="BD4" s="494" t="s">
        <v>1650</v>
      </c>
      <c r="BE4" s="494" t="s">
        <v>1687</v>
      </c>
      <c r="BF4" s="490" t="s">
        <v>1620</v>
      </c>
      <c r="BG4" s="490" t="s">
        <v>1642</v>
      </c>
      <c r="BH4" s="490"/>
      <c r="BI4" s="511" t="s">
        <v>3</v>
      </c>
      <c r="BJ4" s="510">
        <v>1.37</v>
      </c>
      <c r="BK4" s="510">
        <v>-0.26</v>
      </c>
      <c r="BL4" s="510">
        <v>2.99</v>
      </c>
      <c r="BM4" s="510">
        <v>9.8799999999999999E-2</v>
      </c>
      <c r="BN4" s="510">
        <v>0.34499999999999997</v>
      </c>
      <c r="BO4" s="509">
        <v>0.98</v>
      </c>
      <c r="BQ4" s="496" t="s">
        <v>957</v>
      </c>
      <c r="BR4" s="495">
        <v>54</v>
      </c>
      <c r="BS4" s="495">
        <v>0.99</v>
      </c>
      <c r="BT4" s="495">
        <v>0.41</v>
      </c>
      <c r="BU4" s="495">
        <v>60</v>
      </c>
      <c r="BV4" s="495">
        <v>0.66</v>
      </c>
      <c r="BW4" s="495">
        <v>0.4</v>
      </c>
      <c r="BX4" s="494" t="s">
        <v>1629</v>
      </c>
      <c r="BY4" s="494" t="s">
        <v>1687</v>
      </c>
      <c r="BZ4" s="490" t="s">
        <v>1620</v>
      </c>
      <c r="CA4" s="490" t="s">
        <v>1624</v>
      </c>
      <c r="CC4" s="501" t="s">
        <v>117</v>
      </c>
      <c r="CD4" s="500">
        <v>-2.98</v>
      </c>
      <c r="CE4" s="500">
        <v>-6.23</v>
      </c>
      <c r="CF4" s="500">
        <v>0.27</v>
      </c>
      <c r="CG4" s="500">
        <v>7.2300000000000003E-2</v>
      </c>
      <c r="CH4" s="500">
        <v>2.3599999999999999E-2</v>
      </c>
      <c r="CI4" s="499">
        <v>0.99</v>
      </c>
      <c r="CK4" s="496" t="s">
        <v>299</v>
      </c>
      <c r="CL4" s="495">
        <v>30</v>
      </c>
      <c r="CM4" s="495">
        <v>9.1270000000000007</v>
      </c>
      <c r="CN4" s="495">
        <v>4.2859999999999996</v>
      </c>
      <c r="CO4" s="495">
        <v>32</v>
      </c>
      <c r="CP4" s="495">
        <v>9.5790000000000006</v>
      </c>
      <c r="CQ4" s="495">
        <v>5.2220000000000004</v>
      </c>
      <c r="CR4" s="494" t="s">
        <v>1650</v>
      </c>
      <c r="CS4" s="494" t="s">
        <v>1687</v>
      </c>
      <c r="CT4" s="490" t="s">
        <v>1620</v>
      </c>
      <c r="CU4" s="490" t="s">
        <v>1642</v>
      </c>
      <c r="CW4" s="501" t="s">
        <v>98</v>
      </c>
      <c r="CX4" s="500">
        <v>1.32</v>
      </c>
      <c r="CY4" s="500">
        <v>0.44</v>
      </c>
      <c r="CZ4" s="500">
        <v>2.19</v>
      </c>
      <c r="DA4" s="500" t="s">
        <v>1667</v>
      </c>
      <c r="DB4" s="500">
        <v>0.47110000000000002</v>
      </c>
      <c r="DC4" s="499">
        <v>0.95</v>
      </c>
      <c r="DE4" s="496" t="s">
        <v>957</v>
      </c>
      <c r="DF4" s="495">
        <v>54</v>
      </c>
      <c r="DG4" s="495">
        <v>0.6</v>
      </c>
      <c r="DH4" s="495">
        <v>0.56000000000000005</v>
      </c>
      <c r="DI4" s="495">
        <v>60</v>
      </c>
      <c r="DJ4" s="495">
        <v>0.4</v>
      </c>
      <c r="DK4" s="495">
        <v>0.45</v>
      </c>
      <c r="DL4" s="494" t="s">
        <v>1629</v>
      </c>
      <c r="DM4" s="494" t="s">
        <v>1687</v>
      </c>
      <c r="DN4" s="490" t="s">
        <v>1620</v>
      </c>
      <c r="DO4" s="490" t="s">
        <v>1624</v>
      </c>
      <c r="DQ4" s="501" t="s">
        <v>121</v>
      </c>
      <c r="DR4" s="500">
        <v>3.69</v>
      </c>
      <c r="DS4" s="500">
        <v>0.88</v>
      </c>
      <c r="DT4" s="500">
        <v>6.51</v>
      </c>
      <c r="DU4" s="500">
        <v>1.01E-2</v>
      </c>
      <c r="DV4" s="500">
        <v>7.2700000000000001E-2</v>
      </c>
      <c r="DW4" s="499">
        <v>0.98</v>
      </c>
      <c r="DY4" s="496" t="s">
        <v>299</v>
      </c>
      <c r="DZ4" s="495">
        <v>30</v>
      </c>
      <c r="EA4" s="495">
        <v>202.56</v>
      </c>
      <c r="EB4" s="495">
        <v>86.13</v>
      </c>
      <c r="EC4" s="495">
        <v>32</v>
      </c>
      <c r="ED4" s="495">
        <v>267.37</v>
      </c>
      <c r="EE4" s="495">
        <v>158.44</v>
      </c>
      <c r="EF4" s="494" t="s">
        <v>1650</v>
      </c>
      <c r="EG4" s="494" t="s">
        <v>1687</v>
      </c>
      <c r="EH4" s="490" t="s">
        <v>1620</v>
      </c>
      <c r="EI4" s="490" t="s">
        <v>1642</v>
      </c>
      <c r="EK4" s="501" t="s">
        <v>5</v>
      </c>
      <c r="EL4" s="500">
        <v>1.1200000000000001</v>
      </c>
      <c r="EM4" s="500">
        <v>0.59</v>
      </c>
      <c r="EN4" s="500">
        <v>1.65</v>
      </c>
      <c r="EO4" s="500" t="s">
        <v>195</v>
      </c>
      <c r="EP4" s="500">
        <v>6.7400000000000002E-2</v>
      </c>
      <c r="EQ4" s="499">
        <v>0.95</v>
      </c>
      <c r="ES4" s="496" t="s">
        <v>299</v>
      </c>
      <c r="ET4" s="495">
        <v>30</v>
      </c>
      <c r="EU4" s="495">
        <v>15.345000000000001</v>
      </c>
      <c r="EV4" s="495">
        <v>3.0470000000000002</v>
      </c>
      <c r="EW4" s="495">
        <v>32</v>
      </c>
      <c r="EX4" s="495">
        <v>18.834</v>
      </c>
      <c r="EY4" s="495">
        <v>3.544</v>
      </c>
      <c r="EZ4" s="494" t="s">
        <v>1650</v>
      </c>
      <c r="FA4" s="494" t="s">
        <v>1687</v>
      </c>
      <c r="FB4" s="490" t="s">
        <v>1620</v>
      </c>
      <c r="FC4" s="490" t="s">
        <v>1642</v>
      </c>
      <c r="FE4" s="501" t="s">
        <v>251</v>
      </c>
      <c r="FF4" s="500">
        <v>0.85</v>
      </c>
      <c r="FG4" s="500">
        <v>0.11</v>
      </c>
      <c r="FH4" s="500">
        <v>1.6</v>
      </c>
      <c r="FI4" s="500">
        <v>2.5000000000000001E-2</v>
      </c>
      <c r="FJ4" s="500">
        <v>0.63190000000000002</v>
      </c>
      <c r="FK4" s="499">
        <v>0.96</v>
      </c>
      <c r="FM4" s="496" t="s">
        <v>360</v>
      </c>
      <c r="FN4" s="495">
        <v>48</v>
      </c>
      <c r="FO4" s="495">
        <v>378.52</v>
      </c>
      <c r="FP4" s="495">
        <v>140.43</v>
      </c>
      <c r="FQ4" s="495">
        <v>63</v>
      </c>
      <c r="FR4" s="495">
        <v>226.83</v>
      </c>
      <c r="FS4" s="495">
        <v>45.06</v>
      </c>
      <c r="FT4" s="494" t="s">
        <v>1663</v>
      </c>
      <c r="FU4" s="494" t="s">
        <v>1687</v>
      </c>
      <c r="FV4" s="490" t="s">
        <v>1620</v>
      </c>
      <c r="FW4" s="490" t="s">
        <v>1642</v>
      </c>
      <c r="FY4" s="501" t="s">
        <v>4</v>
      </c>
      <c r="FZ4" s="500">
        <v>1.26</v>
      </c>
      <c r="GA4" s="500">
        <v>0.28000000000000003</v>
      </c>
      <c r="GB4" s="500">
        <v>2.2400000000000002</v>
      </c>
      <c r="GC4" s="500">
        <v>1.1599999999999999E-2</v>
      </c>
      <c r="GD4" s="500">
        <v>0.23369999999999999</v>
      </c>
      <c r="GE4" s="499">
        <v>0.97</v>
      </c>
      <c r="GG4" s="496" t="s">
        <v>957</v>
      </c>
      <c r="GH4" s="495">
        <v>54</v>
      </c>
      <c r="GI4" s="495">
        <v>0.61</v>
      </c>
      <c r="GJ4" s="495">
        <v>0.28999999999999998</v>
      </c>
      <c r="GK4" s="495">
        <v>60</v>
      </c>
      <c r="GL4" s="495">
        <v>0.51</v>
      </c>
      <c r="GM4" s="495">
        <v>0.39</v>
      </c>
      <c r="GN4" s="494" t="s">
        <v>1629</v>
      </c>
      <c r="GO4" s="494" t="s">
        <v>1687</v>
      </c>
      <c r="GP4" s="490" t="s">
        <v>1620</v>
      </c>
      <c r="GQ4" s="490" t="s">
        <v>1624</v>
      </c>
      <c r="GS4" s="501" t="s">
        <v>97</v>
      </c>
      <c r="GT4" s="500">
        <v>1.1399999999999999</v>
      </c>
      <c r="GU4" s="500">
        <v>0.09</v>
      </c>
      <c r="GV4" s="500">
        <v>2.19</v>
      </c>
      <c r="GW4" s="500">
        <v>3.3700000000000001E-2</v>
      </c>
      <c r="GX4" s="500">
        <v>4.9099999999999998E-2</v>
      </c>
      <c r="GY4" s="499">
        <v>0.97</v>
      </c>
    </row>
    <row r="5" spans="1:207" ht="34">
      <c r="A5" s="494" t="s">
        <v>1333</v>
      </c>
      <c r="B5" s="494" t="s">
        <v>1666</v>
      </c>
      <c r="C5" s="497" t="s">
        <v>1687</v>
      </c>
      <c r="D5" s="490" t="s">
        <v>1620</v>
      </c>
      <c r="E5" s="490" t="s">
        <v>1642</v>
      </c>
      <c r="F5" s="494" t="s">
        <v>5</v>
      </c>
      <c r="H5" s="496" t="s">
        <v>940</v>
      </c>
      <c r="I5" s="495">
        <v>23</v>
      </c>
      <c r="J5" s="495">
        <v>15.86</v>
      </c>
      <c r="K5" s="495">
        <v>4.08</v>
      </c>
      <c r="L5" s="495">
        <v>23</v>
      </c>
      <c r="M5" s="495">
        <v>10.36</v>
      </c>
      <c r="N5" s="495">
        <v>2.39</v>
      </c>
      <c r="O5" s="494" t="s">
        <v>1663</v>
      </c>
      <c r="P5" s="494" t="s">
        <v>1687</v>
      </c>
      <c r="Q5" s="490" t="s">
        <v>1620</v>
      </c>
      <c r="R5" s="490" t="s">
        <v>1642</v>
      </c>
      <c r="AC5" s="496" t="s">
        <v>360</v>
      </c>
      <c r="AD5" s="495">
        <v>48</v>
      </c>
      <c r="AE5" s="495">
        <v>97.29</v>
      </c>
      <c r="AF5" s="495">
        <v>142.91</v>
      </c>
      <c r="AG5" s="495">
        <v>63</v>
      </c>
      <c r="AH5" s="495">
        <v>207.72</v>
      </c>
      <c r="AI5" s="495">
        <v>180.17</v>
      </c>
      <c r="AJ5" s="494" t="s">
        <v>1663</v>
      </c>
      <c r="AK5" s="494" t="s">
        <v>1687</v>
      </c>
      <c r="AL5" s="490" t="s">
        <v>1620</v>
      </c>
      <c r="AM5" s="490" t="s">
        <v>1642</v>
      </c>
      <c r="AW5" s="496" t="s">
        <v>360</v>
      </c>
      <c r="AX5" s="495">
        <v>48</v>
      </c>
      <c r="AY5" s="495">
        <v>94.14</v>
      </c>
      <c r="AZ5" s="495">
        <v>56.45</v>
      </c>
      <c r="BA5" s="495">
        <v>63</v>
      </c>
      <c r="BB5" s="495">
        <v>267.72000000000003</v>
      </c>
      <c r="BC5" s="495">
        <v>113.52</v>
      </c>
      <c r="BD5" s="494" t="s">
        <v>1663</v>
      </c>
      <c r="BE5" s="494" t="s">
        <v>1687</v>
      </c>
      <c r="BF5" s="490" t="s">
        <v>1620</v>
      </c>
      <c r="BG5" s="490" t="s">
        <v>1642</v>
      </c>
      <c r="BQ5" s="496" t="s">
        <v>116</v>
      </c>
      <c r="BR5" s="495">
        <v>59</v>
      </c>
      <c r="BS5" s="495">
        <v>2</v>
      </c>
      <c r="BT5" s="495">
        <v>0.1</v>
      </c>
      <c r="BU5" s="495">
        <v>61</v>
      </c>
      <c r="BV5" s="495">
        <v>3.18</v>
      </c>
      <c r="BW5" s="495">
        <v>0.11</v>
      </c>
      <c r="BX5" s="494" t="s">
        <v>1627</v>
      </c>
      <c r="BY5" s="494" t="s">
        <v>1687</v>
      </c>
      <c r="BZ5" s="490" t="s">
        <v>1620</v>
      </c>
      <c r="CA5" s="490" t="s">
        <v>1624</v>
      </c>
      <c r="CK5" s="496" t="s">
        <v>957</v>
      </c>
      <c r="CL5" s="495">
        <v>54</v>
      </c>
      <c r="CM5" s="495">
        <v>1.46</v>
      </c>
      <c r="CN5" s="495">
        <v>0.46</v>
      </c>
      <c r="CO5" s="495">
        <v>60</v>
      </c>
      <c r="CP5" s="495">
        <v>1.0900000000000001</v>
      </c>
      <c r="CQ5" s="495">
        <v>0.44</v>
      </c>
      <c r="CR5" s="494" t="s">
        <v>1629</v>
      </c>
      <c r="CS5" s="494" t="s">
        <v>1687</v>
      </c>
      <c r="CT5" s="490" t="s">
        <v>1620</v>
      </c>
      <c r="CU5" s="490" t="s">
        <v>1624</v>
      </c>
      <c r="DE5" s="496" t="s">
        <v>116</v>
      </c>
      <c r="DF5" s="495">
        <v>59</v>
      </c>
      <c r="DG5" s="495">
        <v>241.83</v>
      </c>
      <c r="DH5" s="495">
        <v>6.23</v>
      </c>
      <c r="DI5" s="495">
        <v>61</v>
      </c>
      <c r="DJ5" s="495">
        <v>216.87</v>
      </c>
      <c r="DK5" s="495">
        <v>4.04</v>
      </c>
      <c r="DL5" s="494" t="s">
        <v>1627</v>
      </c>
      <c r="DM5" s="494" t="s">
        <v>1687</v>
      </c>
      <c r="DN5" s="490" t="s">
        <v>1620</v>
      </c>
      <c r="DO5" s="490" t="s">
        <v>1624</v>
      </c>
      <c r="DY5" s="496" t="s">
        <v>940</v>
      </c>
      <c r="DZ5" s="495">
        <v>23</v>
      </c>
      <c r="EA5" s="495">
        <v>4.5</v>
      </c>
      <c r="EB5" s="495">
        <v>2.4300000000000002</v>
      </c>
      <c r="EC5" s="495">
        <v>23</v>
      </c>
      <c r="ED5" s="495">
        <v>2.88</v>
      </c>
      <c r="EE5" s="495">
        <v>0.87</v>
      </c>
      <c r="EF5" s="494" t="s">
        <v>1625</v>
      </c>
      <c r="EG5" s="494" t="s">
        <v>1687</v>
      </c>
      <c r="EH5" s="490" t="s">
        <v>1620</v>
      </c>
      <c r="EI5" s="490" t="s">
        <v>1624</v>
      </c>
      <c r="ES5" s="496" t="s">
        <v>940</v>
      </c>
      <c r="ET5" s="495">
        <v>23</v>
      </c>
      <c r="EU5" s="495">
        <v>7.55</v>
      </c>
      <c r="EV5" s="495">
        <v>2.4900000000000002</v>
      </c>
      <c r="EW5" s="495">
        <v>23</v>
      </c>
      <c r="EX5" s="495">
        <v>6.39</v>
      </c>
      <c r="EY5" s="495">
        <v>0.94</v>
      </c>
      <c r="EZ5" s="494" t="s">
        <v>1625</v>
      </c>
      <c r="FA5" s="494" t="s">
        <v>1687</v>
      </c>
      <c r="FB5" s="490" t="s">
        <v>1620</v>
      </c>
      <c r="FC5" s="490" t="s">
        <v>1624</v>
      </c>
      <c r="FM5" s="496" t="s">
        <v>262</v>
      </c>
      <c r="FN5" s="495">
        <v>28</v>
      </c>
      <c r="FO5" s="495">
        <v>15.6</v>
      </c>
      <c r="FP5" s="495">
        <v>28.4</v>
      </c>
      <c r="FQ5" s="495">
        <v>15</v>
      </c>
      <c r="FR5" s="495">
        <v>9.6</v>
      </c>
      <c r="FS5" s="495">
        <v>11.3</v>
      </c>
      <c r="FT5" s="497" t="s">
        <v>1671</v>
      </c>
      <c r="FU5" s="497" t="s">
        <v>1687</v>
      </c>
      <c r="FV5" s="498" t="s">
        <v>1670</v>
      </c>
      <c r="FW5" s="498" t="s">
        <v>1669</v>
      </c>
      <c r="GG5" s="496" t="s">
        <v>262</v>
      </c>
      <c r="GH5" s="495">
        <v>28</v>
      </c>
      <c r="GI5" s="495">
        <v>110</v>
      </c>
      <c r="GJ5" s="495">
        <v>147</v>
      </c>
      <c r="GK5" s="495">
        <v>15</v>
      </c>
      <c r="GL5" s="495">
        <v>60</v>
      </c>
      <c r="GM5" s="495">
        <v>68</v>
      </c>
      <c r="GN5" s="497" t="s">
        <v>1671</v>
      </c>
      <c r="GO5" s="497" t="s">
        <v>1687</v>
      </c>
      <c r="GP5" s="498" t="s">
        <v>1670</v>
      </c>
      <c r="GQ5" s="498" t="s">
        <v>1669</v>
      </c>
    </row>
    <row r="6" spans="1:207" ht="68">
      <c r="A6" s="494" t="s">
        <v>1377</v>
      </c>
      <c r="B6" s="494" t="s">
        <v>1693</v>
      </c>
      <c r="C6" s="497" t="s">
        <v>1687</v>
      </c>
      <c r="D6" s="490" t="s">
        <v>1670</v>
      </c>
      <c r="E6" s="490" t="s">
        <v>1669</v>
      </c>
      <c r="F6" s="494" t="s">
        <v>1694</v>
      </c>
      <c r="H6" s="496" t="s">
        <v>360</v>
      </c>
      <c r="I6" s="495">
        <v>48</v>
      </c>
      <c r="J6" s="495">
        <v>373.9</v>
      </c>
      <c r="K6" s="495">
        <v>292.72000000000003</v>
      </c>
      <c r="L6" s="495">
        <v>63</v>
      </c>
      <c r="M6" s="495">
        <v>467.76</v>
      </c>
      <c r="N6" s="495">
        <v>262.79000000000002</v>
      </c>
      <c r="O6" s="494" t="s">
        <v>1693</v>
      </c>
      <c r="P6" s="497" t="s">
        <v>1687</v>
      </c>
      <c r="Q6" s="490" t="s">
        <v>1670</v>
      </c>
      <c r="R6" s="490" t="s">
        <v>1669</v>
      </c>
      <c r="AC6" s="496" t="s">
        <v>957</v>
      </c>
      <c r="AD6" s="495">
        <v>54</v>
      </c>
      <c r="AE6" s="495">
        <v>0.56000000000000005</v>
      </c>
      <c r="AF6" s="495">
        <v>0.62</v>
      </c>
      <c r="AG6" s="495">
        <v>60</v>
      </c>
      <c r="AH6" s="495">
        <v>0.06</v>
      </c>
      <c r="AI6" s="495">
        <v>0.44</v>
      </c>
      <c r="AJ6" s="494" t="s">
        <v>1629</v>
      </c>
      <c r="AK6" s="494" t="s">
        <v>1687</v>
      </c>
      <c r="AL6" s="490" t="s">
        <v>1620</v>
      </c>
      <c r="AM6" s="490" t="s">
        <v>1624</v>
      </c>
      <c r="AW6" s="496" t="s">
        <v>957</v>
      </c>
      <c r="AX6" s="495">
        <v>54</v>
      </c>
      <c r="AY6" s="495">
        <v>1.82</v>
      </c>
      <c r="AZ6" s="495">
        <v>0.28999999999999998</v>
      </c>
      <c r="BA6" s="495">
        <v>60</v>
      </c>
      <c r="BB6" s="495">
        <v>1.88</v>
      </c>
      <c r="BC6" s="495">
        <v>0.34</v>
      </c>
      <c r="BD6" s="494" t="s">
        <v>1629</v>
      </c>
      <c r="BE6" s="494" t="s">
        <v>1687</v>
      </c>
      <c r="BF6" s="490" t="s">
        <v>1620</v>
      </c>
      <c r="BG6" s="490" t="s">
        <v>1624</v>
      </c>
      <c r="BQ6" s="496" t="s">
        <v>248</v>
      </c>
      <c r="BR6" s="495">
        <v>50</v>
      </c>
      <c r="BS6" s="495">
        <v>8.6199999999999992</v>
      </c>
      <c r="BT6" s="495">
        <v>9.32</v>
      </c>
      <c r="BU6" s="495">
        <v>90</v>
      </c>
      <c r="BV6" s="495">
        <v>2.89</v>
      </c>
      <c r="BW6" s="495">
        <v>4.03</v>
      </c>
      <c r="BX6" s="494" t="s">
        <v>1633</v>
      </c>
      <c r="BY6" s="494" t="s">
        <v>1687</v>
      </c>
      <c r="BZ6" s="490" t="s">
        <v>1620</v>
      </c>
      <c r="CA6" s="490" t="s">
        <v>1624</v>
      </c>
      <c r="CK6" s="496" t="s">
        <v>987</v>
      </c>
      <c r="CL6" s="495">
        <v>20</v>
      </c>
      <c r="CM6" s="495">
        <v>0.4</v>
      </c>
      <c r="CN6" s="495">
        <v>0.66</v>
      </c>
      <c r="CO6" s="495">
        <v>18</v>
      </c>
      <c r="CP6" s="495">
        <v>0.55000000000000004</v>
      </c>
      <c r="CQ6" s="495">
        <v>0.61</v>
      </c>
      <c r="CR6" s="494" t="s">
        <v>1648</v>
      </c>
      <c r="CS6" s="494" t="s">
        <v>1687</v>
      </c>
      <c r="CT6" s="490" t="s">
        <v>1620</v>
      </c>
      <c r="CU6" s="490" t="s">
        <v>1647</v>
      </c>
      <c r="DE6" s="496" t="s">
        <v>1377</v>
      </c>
      <c r="DF6" s="495">
        <v>33</v>
      </c>
      <c r="DG6" s="495">
        <v>4448.72</v>
      </c>
      <c r="DH6" s="495">
        <v>426.38</v>
      </c>
      <c r="DI6" s="495">
        <v>33</v>
      </c>
      <c r="DJ6" s="495">
        <v>2361.1799999999998</v>
      </c>
      <c r="DK6" s="495">
        <v>200.24</v>
      </c>
      <c r="DL6" s="494" t="s">
        <v>1693</v>
      </c>
      <c r="DM6" s="497" t="s">
        <v>1687</v>
      </c>
      <c r="DN6" s="490" t="s">
        <v>1670</v>
      </c>
      <c r="DO6" s="490" t="s">
        <v>1669</v>
      </c>
      <c r="DY6" s="496" t="s">
        <v>360</v>
      </c>
      <c r="DZ6" s="495">
        <v>48</v>
      </c>
      <c r="EA6" s="495">
        <v>689.86</v>
      </c>
      <c r="EB6" s="495">
        <v>292.60000000000002</v>
      </c>
      <c r="EC6" s="495">
        <v>63</v>
      </c>
      <c r="ED6" s="495">
        <v>556.9</v>
      </c>
      <c r="EE6" s="495">
        <v>178.51</v>
      </c>
      <c r="EF6" s="494" t="s">
        <v>1663</v>
      </c>
      <c r="EG6" s="494" t="s">
        <v>1687</v>
      </c>
      <c r="EH6" s="490" t="s">
        <v>1620</v>
      </c>
      <c r="EI6" s="490" t="s">
        <v>1642</v>
      </c>
      <c r="ES6" s="496" t="s">
        <v>957</v>
      </c>
      <c r="ET6" s="495">
        <v>54</v>
      </c>
      <c r="EU6" s="495">
        <v>0.31</v>
      </c>
      <c r="EV6" s="495">
        <v>0.42</v>
      </c>
      <c r="EW6" s="495">
        <v>60</v>
      </c>
      <c r="EX6" s="495">
        <v>0.12</v>
      </c>
      <c r="EY6" s="495">
        <v>0.43</v>
      </c>
      <c r="EZ6" s="494" t="s">
        <v>1629</v>
      </c>
      <c r="FA6" s="494" t="s">
        <v>1687</v>
      </c>
      <c r="FB6" s="490" t="s">
        <v>1620</v>
      </c>
      <c r="FC6" s="490" t="s">
        <v>1624</v>
      </c>
      <c r="FM6" s="496" t="s">
        <v>987</v>
      </c>
      <c r="FN6" s="495">
        <v>20</v>
      </c>
      <c r="FO6" s="495">
        <v>0.84</v>
      </c>
      <c r="FP6" s="495">
        <v>0.82299999999999995</v>
      </c>
      <c r="FQ6" s="495">
        <v>18</v>
      </c>
      <c r="FR6" s="495">
        <v>0.73</v>
      </c>
      <c r="FS6" s="495">
        <v>0.37</v>
      </c>
      <c r="FT6" s="494" t="s">
        <v>1648</v>
      </c>
      <c r="FU6" s="494" t="s">
        <v>1687</v>
      </c>
      <c r="FV6" s="490" t="s">
        <v>1620</v>
      </c>
      <c r="FW6" s="490" t="s">
        <v>1647</v>
      </c>
      <c r="GG6" s="496" t="s">
        <v>270</v>
      </c>
      <c r="GH6" s="495">
        <v>66</v>
      </c>
      <c r="GI6" s="495">
        <v>10.01</v>
      </c>
      <c r="GJ6" s="495">
        <v>7.2</v>
      </c>
      <c r="GK6" s="495">
        <v>22</v>
      </c>
      <c r="GL6" s="495">
        <v>15.65</v>
      </c>
      <c r="GM6" s="495">
        <v>10.7</v>
      </c>
      <c r="GN6" s="494" t="s">
        <v>1645</v>
      </c>
      <c r="GO6" s="494" t="s">
        <v>1687</v>
      </c>
      <c r="GP6" s="490" t="s">
        <v>1620</v>
      </c>
      <c r="GQ6" s="490" t="s">
        <v>1644</v>
      </c>
    </row>
    <row r="7" spans="1:207" ht="34">
      <c r="A7" s="494" t="s">
        <v>1354</v>
      </c>
      <c r="B7" s="494" t="s">
        <v>1665</v>
      </c>
      <c r="C7" s="494" t="s">
        <v>1687</v>
      </c>
      <c r="D7" s="490" t="s">
        <v>1620</v>
      </c>
      <c r="E7" s="490" t="s">
        <v>1642</v>
      </c>
      <c r="F7" s="494" t="s">
        <v>1664</v>
      </c>
      <c r="H7" s="496" t="s">
        <v>957</v>
      </c>
      <c r="I7" s="495">
        <v>54</v>
      </c>
      <c r="J7" s="495">
        <v>1.23</v>
      </c>
      <c r="K7" s="495">
        <v>0.3</v>
      </c>
      <c r="L7" s="495">
        <v>60</v>
      </c>
      <c r="M7" s="495">
        <v>1</v>
      </c>
      <c r="N7" s="495">
        <v>0.28000000000000003</v>
      </c>
      <c r="O7" s="494" t="s">
        <v>1665</v>
      </c>
      <c r="P7" s="494" t="s">
        <v>1687</v>
      </c>
      <c r="Q7" s="490" t="s">
        <v>1620</v>
      </c>
      <c r="R7" s="490" t="s">
        <v>1642</v>
      </c>
      <c r="AC7" s="496" t="s">
        <v>116</v>
      </c>
      <c r="AD7" s="495">
        <v>59</v>
      </c>
      <c r="AE7" s="495">
        <v>33.83</v>
      </c>
      <c r="AF7" s="495">
        <v>4.1100000000000003</v>
      </c>
      <c r="AG7" s="495">
        <v>61</v>
      </c>
      <c r="AH7" s="495">
        <v>9.69</v>
      </c>
      <c r="AI7" s="495">
        <v>0.17</v>
      </c>
      <c r="AJ7" s="494" t="s">
        <v>1627</v>
      </c>
      <c r="AK7" s="494" t="s">
        <v>1687</v>
      </c>
      <c r="AL7" s="490" t="s">
        <v>1620</v>
      </c>
      <c r="AM7" s="490" t="s">
        <v>1624</v>
      </c>
      <c r="AW7" s="496" t="s">
        <v>116</v>
      </c>
      <c r="AX7" s="495">
        <v>59</v>
      </c>
      <c r="AY7" s="495">
        <v>32.89</v>
      </c>
      <c r="AZ7" s="495">
        <v>3.92</v>
      </c>
      <c r="BA7" s="495">
        <v>61</v>
      </c>
      <c r="BB7" s="495">
        <v>16.47</v>
      </c>
      <c r="BC7" s="495">
        <v>1.84</v>
      </c>
      <c r="BD7" s="494" t="s">
        <v>1627</v>
      </c>
      <c r="BE7" s="494" t="s">
        <v>1687</v>
      </c>
      <c r="BF7" s="490" t="s">
        <v>1620</v>
      </c>
      <c r="BG7" s="490" t="s">
        <v>1624</v>
      </c>
      <c r="CK7" s="496" t="s">
        <v>116</v>
      </c>
      <c r="CL7" s="495">
        <v>59</v>
      </c>
      <c r="CM7" s="495">
        <v>3.16</v>
      </c>
      <c r="CN7" s="495">
        <v>0.41</v>
      </c>
      <c r="CO7" s="495">
        <v>61</v>
      </c>
      <c r="CP7" s="495">
        <v>1.94</v>
      </c>
      <c r="CQ7" s="495">
        <v>0.21</v>
      </c>
      <c r="CR7" s="494" t="s">
        <v>1627</v>
      </c>
      <c r="CS7" s="494" t="s">
        <v>1687</v>
      </c>
      <c r="CT7" s="490" t="s">
        <v>1620</v>
      </c>
      <c r="CU7" s="490" t="s">
        <v>1624</v>
      </c>
      <c r="DE7" s="496" t="s">
        <v>1306</v>
      </c>
      <c r="DF7" s="495">
        <v>31</v>
      </c>
      <c r="DG7" s="495">
        <v>3658.59</v>
      </c>
      <c r="DH7" s="495">
        <v>684.75</v>
      </c>
      <c r="DI7" s="495">
        <v>22</v>
      </c>
      <c r="DJ7" s="495">
        <v>1714.65</v>
      </c>
      <c r="DK7" s="495">
        <v>186.63</v>
      </c>
      <c r="DL7" s="494" t="s">
        <v>1659</v>
      </c>
      <c r="DM7" s="494" t="s">
        <v>1687</v>
      </c>
      <c r="DN7" s="490" t="s">
        <v>1620</v>
      </c>
      <c r="DO7" s="490" t="s">
        <v>1644</v>
      </c>
      <c r="DY7" s="496" t="s">
        <v>957</v>
      </c>
      <c r="DZ7" s="495">
        <v>54</v>
      </c>
      <c r="EA7" s="495">
        <v>0.81</v>
      </c>
      <c r="EB7" s="495">
        <v>0.24</v>
      </c>
      <c r="EC7" s="495">
        <v>60</v>
      </c>
      <c r="ED7" s="495">
        <v>0.73</v>
      </c>
      <c r="EE7" s="495">
        <v>0.22</v>
      </c>
      <c r="EF7" s="494" t="s">
        <v>1629</v>
      </c>
      <c r="EG7" s="494" t="s">
        <v>1687</v>
      </c>
      <c r="EH7" s="490" t="s">
        <v>1620</v>
      </c>
      <c r="EI7" s="490" t="s">
        <v>1624</v>
      </c>
      <c r="ES7" s="496" t="s">
        <v>1013</v>
      </c>
      <c r="ET7" s="495">
        <v>22</v>
      </c>
      <c r="EU7" s="495">
        <v>13</v>
      </c>
      <c r="EV7" s="495">
        <v>3.7</v>
      </c>
      <c r="EW7" s="495">
        <v>17</v>
      </c>
      <c r="EX7" s="495">
        <v>5.4</v>
      </c>
      <c r="EY7" s="495">
        <v>0.8</v>
      </c>
      <c r="EZ7" s="494" t="s">
        <v>1656</v>
      </c>
      <c r="FA7" s="494" t="s">
        <v>1687</v>
      </c>
      <c r="FB7" s="490" t="s">
        <v>1620</v>
      </c>
      <c r="FC7" s="490" t="s">
        <v>1642</v>
      </c>
      <c r="FM7" s="496" t="s">
        <v>116</v>
      </c>
      <c r="FN7" s="495">
        <v>59</v>
      </c>
      <c r="FO7" s="495">
        <v>11.42</v>
      </c>
      <c r="FP7" s="495">
        <v>2.2599999999999998</v>
      </c>
      <c r="FQ7" s="495">
        <v>61</v>
      </c>
      <c r="FR7" s="495">
        <v>1.6</v>
      </c>
      <c r="FS7" s="495">
        <v>0.2</v>
      </c>
      <c r="FT7" s="494" t="s">
        <v>1627</v>
      </c>
      <c r="FU7" s="494" t="s">
        <v>1687</v>
      </c>
      <c r="FV7" s="490" t="s">
        <v>1620</v>
      </c>
      <c r="FW7" s="490" t="s">
        <v>1624</v>
      </c>
      <c r="GG7" s="496" t="s">
        <v>116</v>
      </c>
      <c r="GH7" s="495">
        <v>59</v>
      </c>
      <c r="GI7" s="495">
        <v>569.48</v>
      </c>
      <c r="GJ7" s="495">
        <v>91.57</v>
      </c>
      <c r="GK7" s="495">
        <v>61</v>
      </c>
      <c r="GL7" s="495">
        <v>24.16</v>
      </c>
      <c r="GM7" s="495">
        <v>2.71</v>
      </c>
      <c r="GN7" s="494" t="s">
        <v>1627</v>
      </c>
      <c r="GO7" s="494" t="s">
        <v>1687</v>
      </c>
      <c r="GP7" s="490" t="s">
        <v>1620</v>
      </c>
      <c r="GQ7" s="490" t="s">
        <v>1624</v>
      </c>
    </row>
    <row r="8" spans="1:207" ht="85">
      <c r="A8" s="494" t="s">
        <v>360</v>
      </c>
      <c r="B8" s="494" t="s">
        <v>1663</v>
      </c>
      <c r="C8" s="494" t="s">
        <v>1687</v>
      </c>
      <c r="D8" s="490" t="s">
        <v>1620</v>
      </c>
      <c r="E8" s="490" t="s">
        <v>1642</v>
      </c>
      <c r="F8" s="494" t="s">
        <v>1662</v>
      </c>
      <c r="H8" s="496" t="s">
        <v>1377</v>
      </c>
      <c r="I8" s="495">
        <v>33</v>
      </c>
      <c r="J8" s="495">
        <v>7.81</v>
      </c>
      <c r="K8" s="495">
        <v>0.71</v>
      </c>
      <c r="L8" s="495">
        <v>33</v>
      </c>
      <c r="M8" s="495">
        <v>12.95</v>
      </c>
      <c r="N8" s="495">
        <v>0.48</v>
      </c>
      <c r="O8" s="494" t="s">
        <v>1659</v>
      </c>
      <c r="P8" s="494" t="s">
        <v>1687</v>
      </c>
      <c r="Q8" s="490" t="s">
        <v>1620</v>
      </c>
      <c r="R8" s="490" t="s">
        <v>1644</v>
      </c>
      <c r="AC8" s="496" t="s">
        <v>1377</v>
      </c>
      <c r="AD8" s="495">
        <v>33</v>
      </c>
      <c r="AE8" s="495">
        <v>151</v>
      </c>
      <c r="AF8" s="495">
        <v>16.82</v>
      </c>
      <c r="AG8" s="495">
        <v>33</v>
      </c>
      <c r="AH8" s="495">
        <v>279.54000000000002</v>
      </c>
      <c r="AI8" s="495">
        <v>39.01</v>
      </c>
      <c r="AJ8" s="494" t="s">
        <v>1693</v>
      </c>
      <c r="AK8" s="497" t="s">
        <v>1687</v>
      </c>
      <c r="AL8" s="490" t="s">
        <v>1670</v>
      </c>
      <c r="AM8" s="490" t="s">
        <v>1669</v>
      </c>
      <c r="AW8" s="496" t="s">
        <v>1377</v>
      </c>
      <c r="AX8" s="495">
        <v>33</v>
      </c>
      <c r="AY8" s="495">
        <v>47.64</v>
      </c>
      <c r="AZ8" s="495">
        <v>4.4800000000000004</v>
      </c>
      <c r="BA8" s="495">
        <v>33</v>
      </c>
      <c r="BB8" s="495">
        <v>22.09</v>
      </c>
      <c r="BC8" s="495">
        <v>2.34</v>
      </c>
      <c r="BD8" s="494" t="s">
        <v>1693</v>
      </c>
      <c r="BE8" s="497" t="s">
        <v>1687</v>
      </c>
      <c r="BF8" s="490" t="s">
        <v>1670</v>
      </c>
      <c r="BG8" s="490" t="s">
        <v>1669</v>
      </c>
      <c r="CK8" s="496" t="s">
        <v>995</v>
      </c>
      <c r="CL8" s="495">
        <v>50</v>
      </c>
      <c r="CM8" s="495">
        <v>468.37</v>
      </c>
      <c r="CN8" s="495">
        <v>104.42</v>
      </c>
      <c r="CO8" s="495">
        <v>50</v>
      </c>
      <c r="CP8" s="495">
        <v>325.13</v>
      </c>
      <c r="CQ8" s="495">
        <v>99.19</v>
      </c>
      <c r="CR8" s="494" t="s">
        <v>1622</v>
      </c>
      <c r="CS8" s="494" t="s">
        <v>1687</v>
      </c>
      <c r="CT8" s="490" t="s">
        <v>1620</v>
      </c>
      <c r="CU8" s="490" t="s">
        <v>1619</v>
      </c>
      <c r="DY8" s="496" t="s">
        <v>262</v>
      </c>
      <c r="DZ8" s="495">
        <v>28</v>
      </c>
      <c r="EA8" s="495">
        <v>33.4</v>
      </c>
      <c r="EB8" s="495">
        <v>27.4</v>
      </c>
      <c r="EC8" s="495">
        <v>15</v>
      </c>
      <c r="ED8" s="495">
        <v>14.7</v>
      </c>
      <c r="EE8" s="495">
        <v>8</v>
      </c>
      <c r="EF8" s="497" t="s">
        <v>1671</v>
      </c>
      <c r="EG8" s="497" t="s">
        <v>1687</v>
      </c>
      <c r="EH8" s="498" t="s">
        <v>1670</v>
      </c>
      <c r="EI8" s="498" t="s">
        <v>1669</v>
      </c>
      <c r="ES8" s="496" t="s">
        <v>116</v>
      </c>
      <c r="ET8" s="495">
        <v>59</v>
      </c>
      <c r="EU8" s="495">
        <v>9.48</v>
      </c>
      <c r="EV8" s="495">
        <v>1.07</v>
      </c>
      <c r="EW8" s="495">
        <v>61</v>
      </c>
      <c r="EX8" s="495">
        <v>6.26</v>
      </c>
      <c r="EY8" s="495">
        <v>0.17</v>
      </c>
      <c r="EZ8" s="494" t="s">
        <v>1627</v>
      </c>
      <c r="FA8" s="494" t="s">
        <v>1687</v>
      </c>
      <c r="FB8" s="490" t="s">
        <v>1620</v>
      </c>
      <c r="FC8" s="490" t="s">
        <v>1624</v>
      </c>
      <c r="FM8" s="496" t="s">
        <v>995</v>
      </c>
      <c r="FN8" s="495">
        <v>50</v>
      </c>
      <c r="FO8" s="495">
        <v>35.130000000000003</v>
      </c>
      <c r="FP8" s="495">
        <v>8.52</v>
      </c>
      <c r="FQ8" s="495">
        <v>50</v>
      </c>
      <c r="FR8" s="495">
        <v>24.26</v>
      </c>
      <c r="FS8" s="495">
        <v>5.36</v>
      </c>
      <c r="FT8" s="494" t="s">
        <v>1622</v>
      </c>
      <c r="FU8" s="494" t="s">
        <v>1687</v>
      </c>
      <c r="FV8" s="490" t="s">
        <v>1620</v>
      </c>
      <c r="FW8" s="490" t="s">
        <v>1619</v>
      </c>
      <c r="GG8" s="496" t="s">
        <v>1257</v>
      </c>
      <c r="GH8" s="495">
        <v>100</v>
      </c>
      <c r="GI8" s="495">
        <v>6.31</v>
      </c>
      <c r="GJ8" s="495">
        <v>1.95</v>
      </c>
      <c r="GK8" s="495">
        <v>45</v>
      </c>
      <c r="GL8" s="495">
        <v>7.74</v>
      </c>
      <c r="GM8" s="495">
        <v>1.95</v>
      </c>
      <c r="GN8" s="494" t="s">
        <v>1657</v>
      </c>
      <c r="GO8" s="494" t="s">
        <v>1687</v>
      </c>
      <c r="GP8" s="490" t="s">
        <v>1620</v>
      </c>
      <c r="GQ8" s="490" t="s">
        <v>1644</v>
      </c>
    </row>
    <row r="9" spans="1:207" ht="85">
      <c r="A9" s="494" t="s">
        <v>1307</v>
      </c>
      <c r="B9" s="494" t="s">
        <v>1661</v>
      </c>
      <c r="C9" s="494" t="s">
        <v>1687</v>
      </c>
      <c r="D9" s="490" t="s">
        <v>1620</v>
      </c>
      <c r="E9" s="490" t="s">
        <v>1644</v>
      </c>
      <c r="F9" s="494" t="s">
        <v>1660</v>
      </c>
      <c r="H9" s="496" t="s">
        <v>1354</v>
      </c>
      <c r="I9" s="495">
        <v>18</v>
      </c>
      <c r="J9" s="495">
        <v>41.28</v>
      </c>
      <c r="K9" s="495">
        <v>20.2</v>
      </c>
      <c r="L9" s="495">
        <v>3</v>
      </c>
      <c r="M9" s="495">
        <v>21.67</v>
      </c>
      <c r="N9" s="495">
        <v>20.73</v>
      </c>
      <c r="O9" s="494" t="s">
        <v>1665</v>
      </c>
      <c r="P9" s="494" t="s">
        <v>1687</v>
      </c>
      <c r="Q9" s="490" t="s">
        <v>1620</v>
      </c>
      <c r="R9" s="490" t="s">
        <v>1642</v>
      </c>
      <c r="AC9" s="496" t="s">
        <v>1306</v>
      </c>
      <c r="AD9" s="495">
        <v>31</v>
      </c>
      <c r="AE9" s="495">
        <v>116.04</v>
      </c>
      <c r="AF9" s="495">
        <v>28.72</v>
      </c>
      <c r="AG9" s="495">
        <v>22</v>
      </c>
      <c r="AH9" s="495">
        <v>254.73</v>
      </c>
      <c r="AI9" s="495">
        <v>75.34</v>
      </c>
      <c r="AJ9" s="494" t="s">
        <v>1659</v>
      </c>
      <c r="AK9" s="494" t="s">
        <v>1687</v>
      </c>
      <c r="AL9" s="490" t="s">
        <v>1620</v>
      </c>
      <c r="AM9" s="490" t="s">
        <v>1644</v>
      </c>
      <c r="AW9" s="496" t="s">
        <v>1354</v>
      </c>
      <c r="AX9" s="495">
        <v>18</v>
      </c>
      <c r="AY9" s="495">
        <v>10.92</v>
      </c>
      <c r="AZ9" s="495">
        <v>1.04</v>
      </c>
      <c r="BA9" s="495">
        <v>3</v>
      </c>
      <c r="BB9" s="495">
        <v>82.1</v>
      </c>
      <c r="BC9" s="495">
        <v>124.39</v>
      </c>
      <c r="BD9" s="494" t="s">
        <v>1665</v>
      </c>
      <c r="BE9" s="494" t="s">
        <v>1687</v>
      </c>
      <c r="BF9" s="490" t="s">
        <v>1620</v>
      </c>
      <c r="BG9" s="490" t="s">
        <v>1642</v>
      </c>
      <c r="CK9" s="496" t="s">
        <v>1306</v>
      </c>
      <c r="CL9" s="495">
        <v>31</v>
      </c>
      <c r="CM9" s="495">
        <v>777.23</v>
      </c>
      <c r="CN9" s="495">
        <v>90.64</v>
      </c>
      <c r="CO9" s="495">
        <v>22</v>
      </c>
      <c r="CP9" s="495">
        <v>542.32000000000005</v>
      </c>
      <c r="CQ9" s="495">
        <v>81.63</v>
      </c>
      <c r="CR9" s="494" t="s">
        <v>1659</v>
      </c>
      <c r="CS9" s="494" t="s">
        <v>1687</v>
      </c>
      <c r="CT9" s="490" t="s">
        <v>1620</v>
      </c>
      <c r="CU9" s="490" t="s">
        <v>1644</v>
      </c>
      <c r="DY9" s="496" t="s">
        <v>270</v>
      </c>
      <c r="DZ9" s="495">
        <v>66</v>
      </c>
      <c r="EA9" s="495">
        <v>5.0199999999999996</v>
      </c>
      <c r="EB9" s="495">
        <v>2.9</v>
      </c>
      <c r="EC9" s="495">
        <v>22</v>
      </c>
      <c r="ED9" s="495">
        <v>5.46</v>
      </c>
      <c r="EE9" s="495">
        <v>3.7</v>
      </c>
      <c r="EF9" s="494" t="s">
        <v>1645</v>
      </c>
      <c r="EG9" s="494" t="s">
        <v>1687</v>
      </c>
      <c r="EH9" s="490" t="s">
        <v>1620</v>
      </c>
      <c r="EI9" s="490" t="s">
        <v>1644</v>
      </c>
      <c r="ES9" s="496" t="s">
        <v>995</v>
      </c>
      <c r="ET9" s="495">
        <v>50</v>
      </c>
      <c r="EU9" s="495">
        <v>77.2</v>
      </c>
      <c r="EV9" s="495">
        <v>20.59</v>
      </c>
      <c r="EW9" s="495">
        <v>50</v>
      </c>
      <c r="EX9" s="495">
        <v>53.69</v>
      </c>
      <c r="EY9" s="495">
        <v>13.87</v>
      </c>
      <c r="EZ9" s="494" t="s">
        <v>1622</v>
      </c>
      <c r="FA9" s="494" t="s">
        <v>1687</v>
      </c>
      <c r="FB9" s="490" t="s">
        <v>1620</v>
      </c>
      <c r="FC9" s="490" t="s">
        <v>1619</v>
      </c>
      <c r="FM9" s="496" t="s">
        <v>1307</v>
      </c>
      <c r="FN9" s="495">
        <v>46</v>
      </c>
      <c r="FO9" s="495">
        <v>132.4</v>
      </c>
      <c r="FP9" s="495">
        <v>83.2</v>
      </c>
      <c r="FQ9" s="495">
        <v>41</v>
      </c>
      <c r="FR9" s="495">
        <v>129.30000000000001</v>
      </c>
      <c r="FS9" s="495">
        <v>61.6</v>
      </c>
      <c r="FT9" s="494" t="s">
        <v>1661</v>
      </c>
      <c r="FU9" s="494" t="s">
        <v>1687</v>
      </c>
      <c r="FV9" s="490" t="s">
        <v>1620</v>
      </c>
      <c r="FW9" s="490" t="s">
        <v>1644</v>
      </c>
      <c r="GG9" s="496" t="s">
        <v>1242</v>
      </c>
      <c r="GH9" s="495">
        <v>28</v>
      </c>
      <c r="GI9" s="495">
        <v>6.54</v>
      </c>
      <c r="GJ9" s="495">
        <v>2.13</v>
      </c>
      <c r="GK9" s="495">
        <v>45</v>
      </c>
      <c r="GL9" s="495">
        <v>6.89</v>
      </c>
      <c r="GM9" s="495">
        <v>2.2000000000000002</v>
      </c>
      <c r="GN9" s="494" t="s">
        <v>1654</v>
      </c>
      <c r="GO9" s="494" t="s">
        <v>1687</v>
      </c>
      <c r="GP9" s="490" t="s">
        <v>1620</v>
      </c>
      <c r="GQ9" s="490" t="s">
        <v>1644</v>
      </c>
    </row>
    <row r="10" spans="1:207" ht="102">
      <c r="A10" s="494" t="s">
        <v>1306</v>
      </c>
      <c r="B10" s="494" t="s">
        <v>1659</v>
      </c>
      <c r="C10" s="494" t="s">
        <v>1687</v>
      </c>
      <c r="D10" s="490" t="s">
        <v>1620</v>
      </c>
      <c r="E10" s="490" t="s">
        <v>1644</v>
      </c>
      <c r="F10" s="494" t="s">
        <v>1658</v>
      </c>
      <c r="H10" s="496" t="s">
        <v>1307</v>
      </c>
      <c r="I10" s="495">
        <v>46</v>
      </c>
      <c r="J10" s="495">
        <v>197.4</v>
      </c>
      <c r="K10" s="495">
        <v>230.8</v>
      </c>
      <c r="L10" s="495">
        <v>36</v>
      </c>
      <c r="M10" s="495">
        <v>148.4</v>
      </c>
      <c r="N10" s="495">
        <v>149.80000000000001</v>
      </c>
      <c r="O10" s="494" t="s">
        <v>1661</v>
      </c>
      <c r="P10" s="494" t="s">
        <v>1687</v>
      </c>
      <c r="Q10" s="490" t="s">
        <v>1620</v>
      </c>
      <c r="R10" s="490" t="s">
        <v>1644</v>
      </c>
      <c r="AC10" s="496" t="s">
        <v>248</v>
      </c>
      <c r="AD10" s="495">
        <v>50</v>
      </c>
      <c r="AE10" s="495">
        <v>11.52</v>
      </c>
      <c r="AF10" s="495">
        <v>11.15</v>
      </c>
      <c r="AG10" s="495">
        <v>90</v>
      </c>
      <c r="AH10" s="495">
        <v>2.89</v>
      </c>
      <c r="AI10" s="495">
        <v>3.04</v>
      </c>
      <c r="AJ10" s="494" t="s">
        <v>1633</v>
      </c>
      <c r="AK10" s="494" t="s">
        <v>1687</v>
      </c>
      <c r="AL10" s="490" t="s">
        <v>1620</v>
      </c>
      <c r="AM10" s="490" t="s">
        <v>1624</v>
      </c>
      <c r="AW10" s="496" t="s">
        <v>248</v>
      </c>
      <c r="AX10" s="495">
        <v>50</v>
      </c>
      <c r="AY10" s="495">
        <v>43.95</v>
      </c>
      <c r="AZ10" s="495">
        <v>47.74</v>
      </c>
      <c r="BA10" s="495">
        <v>90</v>
      </c>
      <c r="BB10" s="495">
        <v>11.65</v>
      </c>
      <c r="BC10" s="495">
        <v>9.56</v>
      </c>
      <c r="BD10" s="494" t="s">
        <v>1633</v>
      </c>
      <c r="BE10" s="494" t="s">
        <v>1687</v>
      </c>
      <c r="BF10" s="490" t="s">
        <v>1620</v>
      </c>
      <c r="BG10" s="490" t="s">
        <v>1624</v>
      </c>
      <c r="CK10" s="496" t="s">
        <v>248</v>
      </c>
      <c r="CL10" s="495">
        <v>50</v>
      </c>
      <c r="CM10" s="495">
        <v>9.06</v>
      </c>
      <c r="CN10" s="495">
        <v>9.0500000000000007</v>
      </c>
      <c r="CO10" s="495">
        <v>90</v>
      </c>
      <c r="CP10" s="495">
        <v>2.9</v>
      </c>
      <c r="CQ10" s="495">
        <v>3.19</v>
      </c>
      <c r="CR10" s="494" t="s">
        <v>1633</v>
      </c>
      <c r="CS10" s="494" t="s">
        <v>1687</v>
      </c>
      <c r="CT10" s="490" t="s">
        <v>1620</v>
      </c>
      <c r="CU10" s="490" t="s">
        <v>1624</v>
      </c>
      <c r="DY10" s="496" t="s">
        <v>1013</v>
      </c>
      <c r="DZ10" s="495">
        <v>14</v>
      </c>
      <c r="EA10" s="495">
        <v>23.9</v>
      </c>
      <c r="EB10" s="495">
        <v>4.2</v>
      </c>
      <c r="EC10" s="495">
        <v>17</v>
      </c>
      <c r="ED10" s="495">
        <v>17.3</v>
      </c>
      <c r="EE10" s="495">
        <v>1.2</v>
      </c>
      <c r="EF10" s="494" t="s">
        <v>1656</v>
      </c>
      <c r="EG10" s="494" t="s">
        <v>1687</v>
      </c>
      <c r="EH10" s="490" t="s">
        <v>1620</v>
      </c>
      <c r="EI10" s="490" t="s">
        <v>1642</v>
      </c>
      <c r="ES10" s="496" t="s">
        <v>1307</v>
      </c>
      <c r="ET10" s="495">
        <v>45</v>
      </c>
      <c r="EU10" s="495">
        <v>36.4</v>
      </c>
      <c r="EV10" s="495">
        <v>18.5</v>
      </c>
      <c r="EW10" s="495">
        <v>38</v>
      </c>
      <c r="EX10" s="495">
        <v>35.200000000000003</v>
      </c>
      <c r="EY10" s="495">
        <v>14.1</v>
      </c>
      <c r="EZ10" s="494" t="s">
        <v>1661</v>
      </c>
      <c r="FA10" s="494" t="s">
        <v>1687</v>
      </c>
      <c r="FB10" s="490" t="s">
        <v>1620</v>
      </c>
      <c r="FC10" s="490" t="s">
        <v>1644</v>
      </c>
      <c r="FM10" s="496" t="s">
        <v>1228</v>
      </c>
      <c r="FN10" s="495">
        <v>16</v>
      </c>
      <c r="FO10" s="495">
        <v>12.38</v>
      </c>
      <c r="FP10" s="495">
        <v>19.8</v>
      </c>
      <c r="FQ10" s="495">
        <v>16</v>
      </c>
      <c r="FR10" s="495">
        <v>12.25</v>
      </c>
      <c r="FS10" s="495">
        <v>21.12</v>
      </c>
      <c r="FT10" s="494" t="s">
        <v>1652</v>
      </c>
      <c r="FU10" s="494" t="s">
        <v>1687</v>
      </c>
      <c r="FV10" s="490" t="s">
        <v>1651</v>
      </c>
      <c r="FW10" s="490" t="s">
        <v>1642</v>
      </c>
      <c r="GG10" s="496" t="s">
        <v>248</v>
      </c>
      <c r="GH10" s="495">
        <v>50</v>
      </c>
      <c r="GI10" s="495">
        <v>14.53</v>
      </c>
      <c r="GJ10" s="495">
        <v>18.93</v>
      </c>
      <c r="GK10" s="495">
        <v>90</v>
      </c>
      <c r="GL10" s="495">
        <v>4.53</v>
      </c>
      <c r="GM10" s="495">
        <v>4.38</v>
      </c>
      <c r="GN10" s="494" t="s">
        <v>1633</v>
      </c>
      <c r="GO10" s="494" t="s">
        <v>1687</v>
      </c>
      <c r="GP10" s="490" t="s">
        <v>1620</v>
      </c>
      <c r="GQ10" s="490" t="s">
        <v>1624</v>
      </c>
    </row>
    <row r="11" spans="1:207" ht="34">
      <c r="A11" s="494" t="s">
        <v>1257</v>
      </c>
      <c r="B11" s="494" t="s">
        <v>1657</v>
      </c>
      <c r="C11" s="494" t="s">
        <v>1687</v>
      </c>
      <c r="D11" s="490" t="s">
        <v>1620</v>
      </c>
      <c r="E11" s="490" t="s">
        <v>1644</v>
      </c>
      <c r="F11" s="494" t="s">
        <v>1643</v>
      </c>
      <c r="H11" s="496" t="s">
        <v>1306</v>
      </c>
      <c r="I11" s="495">
        <v>31</v>
      </c>
      <c r="J11" s="495">
        <v>54.93</v>
      </c>
      <c r="K11" s="495">
        <v>19.690000000000001</v>
      </c>
      <c r="L11" s="495">
        <v>22</v>
      </c>
      <c r="M11" s="495">
        <v>86.29</v>
      </c>
      <c r="N11" s="495">
        <v>15.58</v>
      </c>
      <c r="O11" s="494" t="s">
        <v>1659</v>
      </c>
      <c r="P11" s="494" t="s">
        <v>1687</v>
      </c>
      <c r="Q11" s="490" t="s">
        <v>1620</v>
      </c>
      <c r="R11" s="490" t="s">
        <v>1644</v>
      </c>
      <c r="AC11" s="496" t="s">
        <v>940</v>
      </c>
      <c r="AD11" s="495">
        <v>23</v>
      </c>
      <c r="AE11" s="495">
        <v>29.08</v>
      </c>
      <c r="AF11" s="495">
        <v>16.96</v>
      </c>
      <c r="AG11" s="495">
        <v>23</v>
      </c>
      <c r="AH11" s="495">
        <v>9.82</v>
      </c>
      <c r="AI11" s="495">
        <v>1.49</v>
      </c>
      <c r="AJ11" s="494" t="s">
        <v>1625</v>
      </c>
      <c r="AK11" s="494" t="s">
        <v>1687</v>
      </c>
      <c r="AL11" s="490" t="s">
        <v>1620</v>
      </c>
      <c r="AM11" s="490" t="s">
        <v>1624</v>
      </c>
      <c r="DY11" s="496" t="s">
        <v>116</v>
      </c>
      <c r="DZ11" s="495">
        <v>59</v>
      </c>
      <c r="EA11" s="495">
        <v>4.63</v>
      </c>
      <c r="EB11" s="495">
        <v>0.39</v>
      </c>
      <c r="EC11" s="495">
        <v>61</v>
      </c>
      <c r="ED11" s="495">
        <v>2.67</v>
      </c>
      <c r="EE11" s="495">
        <v>0.11</v>
      </c>
      <c r="EF11" s="494" t="s">
        <v>1627</v>
      </c>
      <c r="EG11" s="494" t="s">
        <v>1687</v>
      </c>
      <c r="EH11" s="490" t="s">
        <v>1620</v>
      </c>
      <c r="EI11" s="490" t="s">
        <v>1624</v>
      </c>
      <c r="ES11" s="496" t="s">
        <v>1306</v>
      </c>
      <c r="ET11" s="495">
        <v>31</v>
      </c>
      <c r="EU11" s="495">
        <v>12.82</v>
      </c>
      <c r="EV11" s="495">
        <v>3.84</v>
      </c>
      <c r="EW11" s="495">
        <v>22</v>
      </c>
      <c r="EX11" s="495">
        <v>17.68</v>
      </c>
      <c r="EY11" s="495">
        <v>3.83</v>
      </c>
      <c r="EZ11" s="494" t="s">
        <v>1659</v>
      </c>
      <c r="FA11" s="494" t="s">
        <v>1687</v>
      </c>
      <c r="FB11" s="490" t="s">
        <v>1620</v>
      </c>
      <c r="FC11" s="490" t="s">
        <v>1644</v>
      </c>
      <c r="FM11" s="496" t="s">
        <v>1402</v>
      </c>
      <c r="FN11" s="495">
        <v>64</v>
      </c>
      <c r="FO11" s="495">
        <v>1.39</v>
      </c>
      <c r="FP11" s="495">
        <v>0.35</v>
      </c>
      <c r="FQ11" s="495">
        <v>80</v>
      </c>
      <c r="FR11" s="495">
        <v>0.45</v>
      </c>
      <c r="FS11" s="495">
        <v>0.28000000000000003</v>
      </c>
      <c r="FT11" s="494" t="s">
        <v>1692</v>
      </c>
      <c r="FU11" s="494" t="s">
        <v>1687</v>
      </c>
      <c r="FV11" s="490" t="s">
        <v>1670</v>
      </c>
      <c r="FW11" s="490" t="s">
        <v>1691</v>
      </c>
      <c r="GG11" s="496" t="s">
        <v>940</v>
      </c>
      <c r="GH11" s="495">
        <v>23</v>
      </c>
      <c r="GI11" s="495">
        <v>451.24</v>
      </c>
      <c r="GJ11" s="495">
        <v>383.24</v>
      </c>
      <c r="GK11" s="495">
        <v>23</v>
      </c>
      <c r="GL11" s="495">
        <v>26</v>
      </c>
      <c r="GM11" s="495">
        <v>21.29</v>
      </c>
      <c r="GN11" s="494" t="s">
        <v>1625</v>
      </c>
      <c r="GO11" s="494" t="s">
        <v>1687</v>
      </c>
      <c r="GP11" s="490" t="s">
        <v>1620</v>
      </c>
      <c r="GQ11" s="490" t="s">
        <v>1624</v>
      </c>
    </row>
    <row r="12" spans="1:207" ht="34">
      <c r="A12" s="494" t="s">
        <v>1013</v>
      </c>
      <c r="B12" s="494" t="s">
        <v>1656</v>
      </c>
      <c r="C12" s="494" t="s">
        <v>1687</v>
      </c>
      <c r="D12" s="490" t="s">
        <v>1620</v>
      </c>
      <c r="E12" s="490" t="s">
        <v>1642</v>
      </c>
      <c r="F12" s="494" t="s">
        <v>1655</v>
      </c>
      <c r="H12" s="496" t="s">
        <v>248</v>
      </c>
      <c r="I12" s="495">
        <v>50</v>
      </c>
      <c r="J12" s="495">
        <v>8</v>
      </c>
      <c r="K12" s="495">
        <v>7.6</v>
      </c>
      <c r="L12" s="495">
        <v>90</v>
      </c>
      <c r="M12" s="495">
        <v>2.82</v>
      </c>
      <c r="N12" s="495">
        <v>2.65</v>
      </c>
      <c r="O12" s="494" t="s">
        <v>1633</v>
      </c>
      <c r="P12" s="494" t="s">
        <v>1687</v>
      </c>
      <c r="Q12" s="490" t="s">
        <v>1620</v>
      </c>
      <c r="R12" s="490" t="s">
        <v>1624</v>
      </c>
      <c r="DY12" s="496" t="s">
        <v>995</v>
      </c>
      <c r="DZ12" s="495">
        <v>50</v>
      </c>
      <c r="EA12" s="495">
        <v>51.42</v>
      </c>
      <c r="EB12" s="495">
        <v>12.96</v>
      </c>
      <c r="EC12" s="495">
        <v>50</v>
      </c>
      <c r="ED12" s="495">
        <v>40.07</v>
      </c>
      <c r="EE12" s="495">
        <v>10.44</v>
      </c>
      <c r="EF12" s="494" t="s">
        <v>1622</v>
      </c>
      <c r="EG12" s="494" t="s">
        <v>1687</v>
      </c>
      <c r="EH12" s="490" t="s">
        <v>1620</v>
      </c>
      <c r="EI12" s="490" t="s">
        <v>1619</v>
      </c>
      <c r="ES12" s="496" t="s">
        <v>248</v>
      </c>
      <c r="ET12" s="495">
        <v>50</v>
      </c>
      <c r="EU12" s="495">
        <v>1.63</v>
      </c>
      <c r="EV12" s="495">
        <v>2.3199999999999998</v>
      </c>
      <c r="EW12" s="495">
        <v>90</v>
      </c>
      <c r="EX12" s="495">
        <v>0.35</v>
      </c>
      <c r="EY12" s="495">
        <v>0.31</v>
      </c>
      <c r="EZ12" s="494" t="s">
        <v>1633</v>
      </c>
      <c r="FA12" s="494" t="s">
        <v>1687</v>
      </c>
      <c r="FB12" s="490" t="s">
        <v>1620</v>
      </c>
      <c r="FC12" s="490" t="s">
        <v>1624</v>
      </c>
      <c r="FM12" s="496" t="s">
        <v>248</v>
      </c>
      <c r="FN12" s="495">
        <v>50</v>
      </c>
      <c r="FO12" s="495">
        <v>7.15</v>
      </c>
      <c r="FP12" s="495">
        <v>7.49</v>
      </c>
      <c r="FQ12" s="495">
        <v>90</v>
      </c>
      <c r="FR12" s="495">
        <v>2.27</v>
      </c>
      <c r="FS12" s="495">
        <v>2.58</v>
      </c>
      <c r="FT12" s="494" t="s">
        <v>1633</v>
      </c>
      <c r="FU12" s="494" t="s">
        <v>1687</v>
      </c>
      <c r="FV12" s="490" t="s">
        <v>1620</v>
      </c>
      <c r="FW12" s="490" t="s">
        <v>1624</v>
      </c>
    </row>
    <row r="13" spans="1:207" ht="34">
      <c r="A13" s="494" t="s">
        <v>1242</v>
      </c>
      <c r="B13" s="494" t="s">
        <v>1654</v>
      </c>
      <c r="C13" s="494" t="s">
        <v>1687</v>
      </c>
      <c r="D13" s="490" t="s">
        <v>1620</v>
      </c>
      <c r="E13" s="490" t="s">
        <v>1644</v>
      </c>
      <c r="F13" s="494" t="s">
        <v>1643</v>
      </c>
      <c r="DY13" s="496" t="s">
        <v>1333</v>
      </c>
      <c r="DZ13" s="495">
        <v>26</v>
      </c>
      <c r="EA13" s="495">
        <v>9.08</v>
      </c>
      <c r="EB13" s="495">
        <v>3.23</v>
      </c>
      <c r="EC13" s="495">
        <v>17</v>
      </c>
      <c r="ED13" s="495">
        <v>4.75</v>
      </c>
      <c r="EE13" s="495">
        <v>1.29</v>
      </c>
      <c r="EF13" s="494" t="s">
        <v>1666</v>
      </c>
      <c r="EG13" s="497" t="s">
        <v>1687</v>
      </c>
      <c r="EH13" s="490" t="s">
        <v>1620</v>
      </c>
      <c r="EI13" s="490" t="s">
        <v>1642</v>
      </c>
      <c r="ES13" s="496" t="s">
        <v>1391</v>
      </c>
      <c r="ET13" s="495">
        <v>87</v>
      </c>
      <c r="EU13" s="495">
        <v>11.21</v>
      </c>
      <c r="EV13" s="495">
        <v>8.4600000000000009</v>
      </c>
      <c r="EW13" s="495">
        <v>87</v>
      </c>
      <c r="EX13" s="495">
        <v>5.99</v>
      </c>
      <c r="EY13" s="495">
        <v>2.31</v>
      </c>
      <c r="EZ13" s="494" t="s">
        <v>1689</v>
      </c>
      <c r="FA13" s="494" t="s">
        <v>1687</v>
      </c>
      <c r="FB13" s="490" t="s">
        <v>1670</v>
      </c>
      <c r="FC13" s="490" t="s">
        <v>1688</v>
      </c>
      <c r="FM13" s="496" t="s">
        <v>957</v>
      </c>
      <c r="FN13" s="495">
        <v>54</v>
      </c>
      <c r="FO13" s="495">
        <v>-0.31</v>
      </c>
      <c r="FP13" s="495">
        <v>0.7</v>
      </c>
      <c r="FQ13" s="495">
        <v>60</v>
      </c>
      <c r="FR13" s="495">
        <v>0.28000000000000003</v>
      </c>
      <c r="FS13" s="495">
        <v>0.54</v>
      </c>
      <c r="FT13" s="494" t="s">
        <v>1629</v>
      </c>
      <c r="FU13" s="494" t="s">
        <v>1687</v>
      </c>
      <c r="FV13" s="490" t="s">
        <v>1620</v>
      </c>
      <c r="FW13" s="490" t="s">
        <v>1624</v>
      </c>
    </row>
    <row r="14" spans="1:207" ht="34">
      <c r="A14" s="494" t="s">
        <v>1228</v>
      </c>
      <c r="B14" s="494" t="s">
        <v>1652</v>
      </c>
      <c r="C14" s="494" t="s">
        <v>1687</v>
      </c>
      <c r="D14" s="490" t="s">
        <v>1651</v>
      </c>
      <c r="E14" s="490" t="s">
        <v>1642</v>
      </c>
      <c r="F14" s="494" t="s">
        <v>4</v>
      </c>
      <c r="I14" s="508"/>
      <c r="J14" s="508"/>
      <c r="K14" s="508"/>
      <c r="L14" s="508"/>
      <c r="M14" s="508"/>
      <c r="N14" s="508"/>
      <c r="DY14" s="496" t="s">
        <v>1257</v>
      </c>
      <c r="DZ14" s="495">
        <v>45</v>
      </c>
      <c r="EA14" s="495">
        <v>5.7</v>
      </c>
      <c r="EB14" s="495">
        <v>1.55</v>
      </c>
      <c r="EC14" s="495">
        <v>100</v>
      </c>
      <c r="ED14" s="495">
        <v>6.42</v>
      </c>
      <c r="EE14" s="495">
        <v>1.94</v>
      </c>
      <c r="EF14" s="494" t="s">
        <v>1657</v>
      </c>
      <c r="EG14" s="494" t="s">
        <v>1687</v>
      </c>
      <c r="EH14" s="490" t="s">
        <v>1620</v>
      </c>
      <c r="EI14" s="490" t="s">
        <v>1644</v>
      </c>
    </row>
    <row r="15" spans="1:207" ht="102">
      <c r="A15" s="494" t="s">
        <v>299</v>
      </c>
      <c r="B15" s="494" t="s">
        <v>1650</v>
      </c>
      <c r="C15" s="494" t="s">
        <v>1687</v>
      </c>
      <c r="D15" s="490" t="s">
        <v>1620</v>
      </c>
      <c r="E15" s="490" t="s">
        <v>1642</v>
      </c>
      <c r="F15" s="494" t="s">
        <v>1649</v>
      </c>
      <c r="DY15" s="496" t="s">
        <v>1242</v>
      </c>
      <c r="DZ15" s="495">
        <v>28</v>
      </c>
      <c r="EA15" s="495">
        <v>6.55</v>
      </c>
      <c r="EB15" s="495">
        <v>2.89</v>
      </c>
      <c r="EC15" s="495">
        <v>45</v>
      </c>
      <c r="ED15" s="495">
        <v>6.42</v>
      </c>
      <c r="EE15" s="495">
        <v>1.94</v>
      </c>
      <c r="EF15" s="494" t="s">
        <v>1654</v>
      </c>
      <c r="EG15" s="494" t="s">
        <v>1687</v>
      </c>
      <c r="EH15" s="490" t="s">
        <v>1620</v>
      </c>
      <c r="EI15" s="490" t="s">
        <v>1644</v>
      </c>
    </row>
    <row r="16" spans="1:207" ht="34">
      <c r="A16" s="494" t="s">
        <v>987</v>
      </c>
      <c r="B16" s="494" t="s">
        <v>1648</v>
      </c>
      <c r="C16" s="494" t="s">
        <v>1687</v>
      </c>
      <c r="D16" s="490" t="s">
        <v>1620</v>
      </c>
      <c r="E16" s="490" t="s">
        <v>1647</v>
      </c>
      <c r="F16" s="494" t="s">
        <v>1646</v>
      </c>
      <c r="DY16" s="496" t="s">
        <v>1402</v>
      </c>
      <c r="DZ16" s="495">
        <v>64</v>
      </c>
      <c r="EA16" s="495">
        <v>4.6500000000000004</v>
      </c>
      <c r="EB16" s="495">
        <v>1.58</v>
      </c>
      <c r="EC16" s="495">
        <v>80</v>
      </c>
      <c r="ED16" s="495">
        <v>2.2400000000000002</v>
      </c>
      <c r="EE16" s="495">
        <v>1.44</v>
      </c>
      <c r="EF16" s="494" t="s">
        <v>1692</v>
      </c>
      <c r="EG16" s="494" t="s">
        <v>1687</v>
      </c>
      <c r="EH16" s="490" t="s">
        <v>1670</v>
      </c>
      <c r="EI16" s="490" t="s">
        <v>1691</v>
      </c>
    </row>
    <row r="17" spans="1:207" ht="34">
      <c r="A17" s="490" t="s">
        <v>270</v>
      </c>
      <c r="B17" s="494" t="s">
        <v>1645</v>
      </c>
      <c r="C17" s="494" t="s">
        <v>1687</v>
      </c>
      <c r="D17" s="490" t="s">
        <v>1620</v>
      </c>
      <c r="E17" s="490" t="s">
        <v>1644</v>
      </c>
      <c r="F17" s="494" t="s">
        <v>1643</v>
      </c>
      <c r="DY17" s="496" t="s">
        <v>248</v>
      </c>
      <c r="DZ17" s="495">
        <v>50</v>
      </c>
      <c r="EA17" s="495">
        <v>15.95</v>
      </c>
      <c r="EB17" s="495">
        <v>15.43</v>
      </c>
      <c r="EC17" s="495">
        <v>90</v>
      </c>
      <c r="ED17" s="495">
        <v>4.82</v>
      </c>
      <c r="EE17" s="495">
        <v>4.05</v>
      </c>
      <c r="EF17" s="494" t="s">
        <v>1633</v>
      </c>
      <c r="EG17" s="494" t="s">
        <v>1687</v>
      </c>
      <c r="EH17" s="490" t="s">
        <v>1620</v>
      </c>
      <c r="EI17" s="490" t="s">
        <v>1624</v>
      </c>
    </row>
    <row r="18" spans="1:207" ht="34">
      <c r="A18" s="494" t="s">
        <v>1402</v>
      </c>
      <c r="B18" s="494" t="s">
        <v>1692</v>
      </c>
      <c r="C18" s="494" t="s">
        <v>1687</v>
      </c>
      <c r="D18" s="490" t="s">
        <v>1670</v>
      </c>
      <c r="E18" s="490" t="s">
        <v>1691</v>
      </c>
      <c r="F18" s="494" t="s">
        <v>1690</v>
      </c>
      <c r="DY18" s="496" t="s">
        <v>1391</v>
      </c>
      <c r="DZ18" s="495">
        <v>87</v>
      </c>
      <c r="EA18" s="495">
        <v>63.37</v>
      </c>
      <c r="EB18" s="495">
        <v>49.64</v>
      </c>
      <c r="EC18" s="495">
        <v>87</v>
      </c>
      <c r="ED18" s="495">
        <v>28.22</v>
      </c>
      <c r="EE18" s="495">
        <v>9.9600000000000009</v>
      </c>
      <c r="EF18" s="494" t="s">
        <v>1689</v>
      </c>
      <c r="EG18" s="494" t="s">
        <v>1687</v>
      </c>
      <c r="EH18" s="490" t="s">
        <v>1670</v>
      </c>
      <c r="EI18" s="490" t="s">
        <v>1688</v>
      </c>
    </row>
    <row r="19" spans="1:207" ht="136">
      <c r="A19" s="494" t="s">
        <v>248</v>
      </c>
      <c r="B19" s="494" t="s">
        <v>1633</v>
      </c>
      <c r="C19" s="494" t="s">
        <v>1687</v>
      </c>
      <c r="D19" s="490" t="s">
        <v>1620</v>
      </c>
      <c r="E19" s="490" t="s">
        <v>1624</v>
      </c>
      <c r="F19" s="494" t="s">
        <v>1632</v>
      </c>
      <c r="DY19" s="496" t="s">
        <v>1412</v>
      </c>
      <c r="DZ19" s="495">
        <v>57</v>
      </c>
      <c r="EA19" s="495">
        <v>7.7</v>
      </c>
      <c r="EB19" s="495">
        <v>2.6</v>
      </c>
      <c r="EC19" s="495">
        <v>30</v>
      </c>
      <c r="ED19" s="495">
        <v>3.5</v>
      </c>
      <c r="EE19" s="495">
        <v>0.7</v>
      </c>
      <c r="EF19" s="494" t="s">
        <v>1631</v>
      </c>
      <c r="EG19" s="494" t="s">
        <v>1687</v>
      </c>
      <c r="EH19" s="490" t="s">
        <v>1620</v>
      </c>
      <c r="EI19" s="490" t="s">
        <v>1624</v>
      </c>
    </row>
    <row r="20" spans="1:207" ht="34">
      <c r="A20" s="490" t="s">
        <v>1391</v>
      </c>
      <c r="B20" s="494" t="s">
        <v>1689</v>
      </c>
      <c r="C20" s="494" t="s">
        <v>1687</v>
      </c>
      <c r="D20" s="490" t="s">
        <v>1670</v>
      </c>
      <c r="E20" s="490" t="s">
        <v>1688</v>
      </c>
      <c r="F20" s="494" t="s">
        <v>5</v>
      </c>
    </row>
    <row r="21" spans="1:207" ht="136">
      <c r="A21" s="494" t="s">
        <v>1412</v>
      </c>
      <c r="B21" s="494" t="s">
        <v>1631</v>
      </c>
      <c r="C21" s="494" t="s">
        <v>1687</v>
      </c>
      <c r="D21" s="490" t="s">
        <v>1620</v>
      </c>
      <c r="E21" s="490" t="s">
        <v>1624</v>
      </c>
      <c r="F21" s="494" t="s">
        <v>1630</v>
      </c>
    </row>
    <row r="22" spans="1:207" ht="170">
      <c r="A22" s="494" t="s">
        <v>957</v>
      </c>
      <c r="B22" s="494" t="s">
        <v>1629</v>
      </c>
      <c r="C22" s="494" t="s">
        <v>1687</v>
      </c>
      <c r="D22" s="490" t="s">
        <v>1620</v>
      </c>
      <c r="E22" s="490" t="s">
        <v>1624</v>
      </c>
      <c r="F22" s="494" t="s">
        <v>1628</v>
      </c>
    </row>
    <row r="23" spans="1:207" ht="153">
      <c r="A23" s="494" t="s">
        <v>116</v>
      </c>
      <c r="B23" s="494" t="s">
        <v>1627</v>
      </c>
      <c r="C23" s="494" t="s">
        <v>1687</v>
      </c>
      <c r="D23" s="490" t="s">
        <v>1620</v>
      </c>
      <c r="E23" s="490" t="s">
        <v>1624</v>
      </c>
      <c r="F23" s="494" t="s">
        <v>1626</v>
      </c>
    </row>
    <row r="24" spans="1:207" ht="102">
      <c r="A24" s="494" t="s">
        <v>940</v>
      </c>
      <c r="B24" s="494" t="s">
        <v>1625</v>
      </c>
      <c r="C24" s="494" t="s">
        <v>1687</v>
      </c>
      <c r="D24" s="490" t="s">
        <v>1620</v>
      </c>
      <c r="E24" s="490" t="s">
        <v>1624</v>
      </c>
      <c r="F24" s="494" t="s">
        <v>1623</v>
      </c>
    </row>
    <row r="25" spans="1:207" ht="68">
      <c r="A25" s="494" t="s">
        <v>995</v>
      </c>
      <c r="B25" s="494" t="s">
        <v>1622</v>
      </c>
      <c r="C25" s="494" t="s">
        <v>1687</v>
      </c>
      <c r="D25" s="490" t="s">
        <v>1620</v>
      </c>
      <c r="E25" s="490" t="s">
        <v>1619</v>
      </c>
      <c r="F25" s="494" t="s">
        <v>1618</v>
      </c>
    </row>
    <row r="26" spans="1:207" ht="31" customHeight="1"/>
    <row r="27" spans="1:207" ht="31" customHeight="1">
      <c r="A27" s="507" t="s">
        <v>1686</v>
      </c>
    </row>
    <row r="28" spans="1:207" s="502" customFormat="1" ht="68">
      <c r="A28" s="505" t="s">
        <v>25</v>
      </c>
      <c r="B28" s="506" t="s">
        <v>1681</v>
      </c>
      <c r="C28" s="505" t="s">
        <v>1680</v>
      </c>
      <c r="D28" s="505" t="s">
        <v>1679</v>
      </c>
      <c r="E28" s="505" t="s">
        <v>1678</v>
      </c>
      <c r="F28" s="505" t="s">
        <v>1685</v>
      </c>
      <c r="H28" s="492" t="s">
        <v>1684</v>
      </c>
      <c r="I28" s="491" t="s">
        <v>222</v>
      </c>
      <c r="J28" s="491" t="s">
        <v>223</v>
      </c>
      <c r="K28" s="491" t="s">
        <v>224</v>
      </c>
      <c r="L28" s="491" t="s">
        <v>225</v>
      </c>
      <c r="M28" s="491" t="s">
        <v>226</v>
      </c>
      <c r="N28" s="491" t="s">
        <v>227</v>
      </c>
      <c r="O28" s="504" t="s">
        <v>1681</v>
      </c>
      <c r="P28" s="492" t="s">
        <v>1680</v>
      </c>
      <c r="Q28" s="492" t="s">
        <v>1679</v>
      </c>
      <c r="R28" s="492" t="s">
        <v>1678</v>
      </c>
      <c r="U28" s="504" t="s">
        <v>1677</v>
      </c>
      <c r="V28" s="504" t="s">
        <v>1676</v>
      </c>
      <c r="W28" s="504" t="s">
        <v>1675</v>
      </c>
      <c r="X28" s="504" t="s">
        <v>1674</v>
      </c>
      <c r="Y28" s="504" t="s">
        <v>1673</v>
      </c>
      <c r="Z28" s="504" t="s">
        <v>1672</v>
      </c>
      <c r="AC28" s="491" t="s">
        <v>2</v>
      </c>
      <c r="AD28" s="491" t="s">
        <v>222</v>
      </c>
      <c r="AE28" s="491" t="s">
        <v>223</v>
      </c>
      <c r="AF28" s="491" t="s">
        <v>224</v>
      </c>
      <c r="AG28" s="491" t="s">
        <v>225</v>
      </c>
      <c r="AH28" s="491" t="s">
        <v>226</v>
      </c>
      <c r="AI28" s="491" t="s">
        <v>227</v>
      </c>
      <c r="AJ28" s="504" t="s">
        <v>1681</v>
      </c>
      <c r="AK28" s="492" t="s">
        <v>1680</v>
      </c>
      <c r="AL28" s="492" t="s">
        <v>1679</v>
      </c>
      <c r="AM28" s="492" t="s">
        <v>1678</v>
      </c>
      <c r="AP28" s="503" t="s">
        <v>1677</v>
      </c>
      <c r="AQ28" s="503" t="s">
        <v>1676</v>
      </c>
      <c r="AR28" s="503" t="s">
        <v>1675</v>
      </c>
      <c r="AS28" s="503" t="s">
        <v>1674</v>
      </c>
      <c r="AT28" s="503" t="s">
        <v>1673</v>
      </c>
      <c r="AU28" s="503" t="s">
        <v>1672</v>
      </c>
      <c r="AW28" s="492" t="s">
        <v>3</v>
      </c>
      <c r="AX28" s="491" t="s">
        <v>222</v>
      </c>
      <c r="AY28" s="491" t="s">
        <v>223</v>
      </c>
      <c r="AZ28" s="491" t="s">
        <v>224</v>
      </c>
      <c r="BA28" s="491" t="s">
        <v>225</v>
      </c>
      <c r="BB28" s="491" t="s">
        <v>226</v>
      </c>
      <c r="BC28" s="491" t="s">
        <v>227</v>
      </c>
      <c r="BD28" s="504" t="s">
        <v>1681</v>
      </c>
      <c r="BE28" s="492" t="s">
        <v>1680</v>
      </c>
      <c r="BF28" s="492" t="s">
        <v>1679</v>
      </c>
      <c r="BG28" s="492" t="s">
        <v>1678</v>
      </c>
      <c r="BJ28" s="503" t="s">
        <v>1677</v>
      </c>
      <c r="BK28" s="503" t="s">
        <v>1676</v>
      </c>
      <c r="BL28" s="503" t="s">
        <v>1675</v>
      </c>
      <c r="BM28" s="503" t="s">
        <v>1674</v>
      </c>
      <c r="BN28" s="503" t="s">
        <v>1673</v>
      </c>
      <c r="BO28" s="503" t="s">
        <v>1672</v>
      </c>
      <c r="BQ28" s="492" t="s">
        <v>117</v>
      </c>
      <c r="BR28" s="491" t="s">
        <v>222</v>
      </c>
      <c r="BS28" s="491" t="s">
        <v>223</v>
      </c>
      <c r="BT28" s="491" t="s">
        <v>224</v>
      </c>
      <c r="BU28" s="491" t="s">
        <v>225</v>
      </c>
      <c r="BV28" s="491" t="s">
        <v>226</v>
      </c>
      <c r="BW28" s="491" t="s">
        <v>227</v>
      </c>
      <c r="BX28" s="504" t="s">
        <v>1681</v>
      </c>
      <c r="BY28" s="492" t="s">
        <v>1680</v>
      </c>
      <c r="BZ28" s="492" t="s">
        <v>1679</v>
      </c>
      <c r="CA28" s="492" t="s">
        <v>1678</v>
      </c>
      <c r="CD28" s="503" t="s">
        <v>1677</v>
      </c>
      <c r="CE28" s="503" t="s">
        <v>1676</v>
      </c>
      <c r="CF28" s="503" t="s">
        <v>1675</v>
      </c>
      <c r="CG28" s="503" t="s">
        <v>1674</v>
      </c>
      <c r="CH28" s="503" t="s">
        <v>1673</v>
      </c>
      <c r="CI28" s="503" t="s">
        <v>1672</v>
      </c>
      <c r="CK28" s="492" t="s">
        <v>98</v>
      </c>
      <c r="CL28" s="491" t="s">
        <v>222</v>
      </c>
      <c r="CM28" s="491" t="s">
        <v>223</v>
      </c>
      <c r="CN28" s="491" t="s">
        <v>224</v>
      </c>
      <c r="CO28" s="491" t="s">
        <v>225</v>
      </c>
      <c r="CP28" s="491" t="s">
        <v>226</v>
      </c>
      <c r="CQ28" s="491" t="s">
        <v>227</v>
      </c>
      <c r="CR28" s="504" t="s">
        <v>1681</v>
      </c>
      <c r="CS28" s="492" t="s">
        <v>1680</v>
      </c>
      <c r="CT28" s="492" t="s">
        <v>1679</v>
      </c>
      <c r="CU28" s="492" t="s">
        <v>1678</v>
      </c>
      <c r="CX28" s="503" t="s">
        <v>1677</v>
      </c>
      <c r="CY28" s="503" t="s">
        <v>1676</v>
      </c>
      <c r="CZ28" s="503" t="s">
        <v>1675</v>
      </c>
      <c r="DA28" s="503" t="s">
        <v>1674</v>
      </c>
      <c r="DB28" s="503" t="s">
        <v>1673</v>
      </c>
      <c r="DC28" s="503" t="s">
        <v>1672</v>
      </c>
      <c r="DE28" s="492" t="s">
        <v>121</v>
      </c>
      <c r="DF28" s="491" t="s">
        <v>222</v>
      </c>
      <c r="DG28" s="491" t="s">
        <v>223</v>
      </c>
      <c r="DH28" s="491" t="s">
        <v>224</v>
      </c>
      <c r="DI28" s="491" t="s">
        <v>225</v>
      </c>
      <c r="DJ28" s="491" t="s">
        <v>226</v>
      </c>
      <c r="DK28" s="491" t="s">
        <v>227</v>
      </c>
      <c r="DL28" s="504" t="s">
        <v>1681</v>
      </c>
      <c r="DM28" s="492" t="s">
        <v>1680</v>
      </c>
      <c r="DN28" s="492" t="s">
        <v>1679</v>
      </c>
      <c r="DO28" s="492" t="s">
        <v>1678</v>
      </c>
      <c r="DR28" s="503" t="s">
        <v>1677</v>
      </c>
      <c r="DS28" s="503" t="s">
        <v>1676</v>
      </c>
      <c r="DT28" s="503" t="s">
        <v>1675</v>
      </c>
      <c r="DU28" s="503" t="s">
        <v>1674</v>
      </c>
      <c r="DV28" s="503" t="s">
        <v>1673</v>
      </c>
      <c r="DW28" s="503" t="s">
        <v>1672</v>
      </c>
      <c r="DY28" s="492" t="s">
        <v>1683</v>
      </c>
      <c r="DZ28" s="491" t="s">
        <v>222</v>
      </c>
      <c r="EA28" s="491" t="s">
        <v>223</v>
      </c>
      <c r="EB28" s="491" t="s">
        <v>224</v>
      </c>
      <c r="EC28" s="491" t="s">
        <v>225</v>
      </c>
      <c r="ED28" s="491" t="s">
        <v>226</v>
      </c>
      <c r="EE28" s="491" t="s">
        <v>227</v>
      </c>
      <c r="EF28" s="504" t="s">
        <v>1681</v>
      </c>
      <c r="EG28" s="492" t="s">
        <v>1680</v>
      </c>
      <c r="EH28" s="492" t="s">
        <v>1679</v>
      </c>
      <c r="EI28" s="492" t="s">
        <v>1678</v>
      </c>
      <c r="EL28" s="503" t="s">
        <v>1677</v>
      </c>
      <c r="EM28" s="503" t="s">
        <v>1676</v>
      </c>
      <c r="EN28" s="503" t="s">
        <v>1675</v>
      </c>
      <c r="EO28" s="503" t="s">
        <v>1674</v>
      </c>
      <c r="EP28" s="503" t="s">
        <v>1673</v>
      </c>
      <c r="EQ28" s="503" t="s">
        <v>1672</v>
      </c>
      <c r="ES28" s="492" t="s">
        <v>1682</v>
      </c>
      <c r="ET28" s="491" t="s">
        <v>222</v>
      </c>
      <c r="EU28" s="491" t="s">
        <v>223</v>
      </c>
      <c r="EV28" s="491" t="s">
        <v>224</v>
      </c>
      <c r="EW28" s="491" t="s">
        <v>225</v>
      </c>
      <c r="EX28" s="491" t="s">
        <v>226</v>
      </c>
      <c r="EY28" s="491" t="s">
        <v>227</v>
      </c>
      <c r="EZ28" s="504" t="s">
        <v>1681</v>
      </c>
      <c r="FA28" s="492" t="s">
        <v>1680</v>
      </c>
      <c r="FB28" s="492" t="s">
        <v>1679</v>
      </c>
      <c r="FC28" s="492" t="s">
        <v>1678</v>
      </c>
      <c r="FF28" s="503" t="s">
        <v>1677</v>
      </c>
      <c r="FG28" s="503" t="s">
        <v>1676</v>
      </c>
      <c r="FH28" s="503" t="s">
        <v>1675</v>
      </c>
      <c r="FI28" s="503" t="s">
        <v>1674</v>
      </c>
      <c r="FJ28" s="503" t="s">
        <v>1673</v>
      </c>
      <c r="FK28" s="503" t="s">
        <v>1672</v>
      </c>
      <c r="FM28" s="491" t="s">
        <v>4</v>
      </c>
      <c r="FN28" s="491" t="s">
        <v>222</v>
      </c>
      <c r="FO28" s="491" t="s">
        <v>223</v>
      </c>
      <c r="FP28" s="491" t="s">
        <v>224</v>
      </c>
      <c r="FQ28" s="491" t="s">
        <v>225</v>
      </c>
      <c r="FR28" s="491" t="s">
        <v>226</v>
      </c>
      <c r="FS28" s="491" t="s">
        <v>227</v>
      </c>
      <c r="FT28" s="504" t="s">
        <v>1681</v>
      </c>
      <c r="FU28" s="492" t="s">
        <v>1680</v>
      </c>
      <c r="FV28" s="492" t="s">
        <v>1679</v>
      </c>
      <c r="FW28" s="492" t="s">
        <v>1678</v>
      </c>
      <c r="FZ28" s="503" t="s">
        <v>1677</v>
      </c>
      <c r="GA28" s="503" t="s">
        <v>1676</v>
      </c>
      <c r="GB28" s="503" t="s">
        <v>1675</v>
      </c>
      <c r="GC28" s="503" t="s">
        <v>1674</v>
      </c>
      <c r="GD28" s="503" t="s">
        <v>1673</v>
      </c>
      <c r="GE28" s="503" t="s">
        <v>1672</v>
      </c>
      <c r="GG28" s="492" t="s">
        <v>97</v>
      </c>
      <c r="GH28" s="491" t="s">
        <v>222</v>
      </c>
      <c r="GI28" s="491" t="s">
        <v>223</v>
      </c>
      <c r="GJ28" s="491" t="s">
        <v>224</v>
      </c>
      <c r="GK28" s="491" t="s">
        <v>225</v>
      </c>
      <c r="GL28" s="491" t="s">
        <v>226</v>
      </c>
      <c r="GM28" s="491" t="s">
        <v>227</v>
      </c>
      <c r="GN28" s="504" t="s">
        <v>1681</v>
      </c>
      <c r="GO28" s="492" t="s">
        <v>1680</v>
      </c>
      <c r="GP28" s="492" t="s">
        <v>1679</v>
      </c>
      <c r="GQ28" s="492" t="s">
        <v>1678</v>
      </c>
      <c r="GT28" s="503" t="s">
        <v>1677</v>
      </c>
      <c r="GU28" s="503" t="s">
        <v>1676</v>
      </c>
      <c r="GV28" s="503" t="s">
        <v>1675</v>
      </c>
      <c r="GW28" s="503" t="s">
        <v>1674</v>
      </c>
      <c r="GX28" s="503" t="s">
        <v>1673</v>
      </c>
      <c r="GY28" s="503" t="s">
        <v>1672</v>
      </c>
    </row>
    <row r="29" spans="1:207" ht="51">
      <c r="A29" s="497" t="s">
        <v>262</v>
      </c>
      <c r="B29" s="497" t="s">
        <v>1671</v>
      </c>
      <c r="C29" s="497" t="s">
        <v>1621</v>
      </c>
      <c r="D29" s="498" t="s">
        <v>1670</v>
      </c>
      <c r="E29" s="498" t="s">
        <v>1669</v>
      </c>
      <c r="F29" s="494" t="s">
        <v>1668</v>
      </c>
      <c r="H29" s="496" t="s">
        <v>299</v>
      </c>
      <c r="I29" s="495">
        <v>30</v>
      </c>
      <c r="J29" s="495">
        <v>2.63</v>
      </c>
      <c r="K29" s="495">
        <v>1.34</v>
      </c>
      <c r="L29" s="495">
        <v>30</v>
      </c>
      <c r="M29" s="495">
        <v>2.33</v>
      </c>
      <c r="N29" s="495">
        <v>1.18</v>
      </c>
      <c r="O29" s="494" t="s">
        <v>1650</v>
      </c>
      <c r="P29" s="494" t="s">
        <v>1621</v>
      </c>
      <c r="Q29" s="490" t="s">
        <v>1620</v>
      </c>
      <c r="R29" s="490" t="s">
        <v>1642</v>
      </c>
      <c r="T29" s="501" t="s">
        <v>1</v>
      </c>
      <c r="U29" s="500">
        <v>0.13</v>
      </c>
      <c r="V29" s="500">
        <v>-0.3</v>
      </c>
      <c r="W29" s="500">
        <v>0.56000000000000005</v>
      </c>
      <c r="X29" s="500">
        <v>0.56040000000000001</v>
      </c>
      <c r="Y29" s="500">
        <v>0.49</v>
      </c>
      <c r="Z29" s="499">
        <v>0.89</v>
      </c>
      <c r="AC29" s="496" t="s">
        <v>299</v>
      </c>
      <c r="AD29" s="495">
        <v>30</v>
      </c>
      <c r="AE29" s="495">
        <v>5.4509999999999996</v>
      </c>
      <c r="AF29" s="495">
        <v>1.982</v>
      </c>
      <c r="AG29" s="495">
        <v>30</v>
      </c>
      <c r="AH29" s="495">
        <v>5.9050000000000002</v>
      </c>
      <c r="AI29" s="495">
        <v>2.6549999999999998</v>
      </c>
      <c r="AJ29" s="494" t="s">
        <v>1650</v>
      </c>
      <c r="AK29" s="494" t="s">
        <v>1621</v>
      </c>
      <c r="AL29" s="490" t="s">
        <v>1620</v>
      </c>
      <c r="AM29" s="490" t="s">
        <v>1642</v>
      </c>
      <c r="AO29" s="501" t="s">
        <v>2</v>
      </c>
      <c r="AP29" s="500">
        <v>-0.21</v>
      </c>
      <c r="AQ29" s="500">
        <v>-0.72</v>
      </c>
      <c r="AR29" s="500">
        <v>0.3</v>
      </c>
      <c r="AS29" s="500">
        <v>0.4269</v>
      </c>
      <c r="AT29" s="500">
        <v>0.86119999999999997</v>
      </c>
      <c r="AU29" s="499">
        <v>0.91</v>
      </c>
      <c r="AW29" s="496" t="s">
        <v>299</v>
      </c>
      <c r="AX29" s="495">
        <v>30</v>
      </c>
      <c r="AY29" s="495">
        <v>19.850000000000001</v>
      </c>
      <c r="AZ29" s="495">
        <v>8.52</v>
      </c>
      <c r="BA29" s="495">
        <v>30</v>
      </c>
      <c r="BB29" s="495">
        <v>19.649999999999999</v>
      </c>
      <c r="BC29" s="495">
        <v>9.6300000000000008</v>
      </c>
      <c r="BD29" s="494" t="s">
        <v>1650</v>
      </c>
      <c r="BE29" s="494" t="s">
        <v>1621</v>
      </c>
      <c r="BF29" s="490" t="s">
        <v>1620</v>
      </c>
      <c r="BG29" s="490" t="s">
        <v>1642</v>
      </c>
      <c r="BI29" s="501" t="s">
        <v>3</v>
      </c>
      <c r="BJ29" s="500">
        <v>-0.39</v>
      </c>
      <c r="BK29" s="500">
        <v>-0.67</v>
      </c>
      <c r="BL29" s="500">
        <v>-0.11</v>
      </c>
      <c r="BM29" s="500" t="s">
        <v>1667</v>
      </c>
      <c r="BN29" s="500">
        <v>0.49909999999999999</v>
      </c>
      <c r="BO29" s="499">
        <v>0.77</v>
      </c>
      <c r="BQ29" s="496" t="s">
        <v>957</v>
      </c>
      <c r="BR29" s="495">
        <v>54</v>
      </c>
      <c r="BS29" s="495">
        <v>0.67</v>
      </c>
      <c r="BT29" s="495">
        <v>0.41</v>
      </c>
      <c r="BU29" s="495">
        <v>54</v>
      </c>
      <c r="BV29" s="495">
        <v>0.66</v>
      </c>
      <c r="BW29" s="495">
        <v>0.4</v>
      </c>
      <c r="BX29" s="494" t="s">
        <v>1629</v>
      </c>
      <c r="BY29" s="494" t="s">
        <v>1621</v>
      </c>
      <c r="BZ29" s="490" t="s">
        <v>1620</v>
      </c>
      <c r="CA29" s="490" t="s">
        <v>1624</v>
      </c>
      <c r="CC29" s="501" t="s">
        <v>117</v>
      </c>
      <c r="CD29" s="500">
        <v>2.17</v>
      </c>
      <c r="CE29" s="500">
        <v>0.65</v>
      </c>
      <c r="CF29" s="500">
        <v>3.7</v>
      </c>
      <c r="CG29" s="500" t="s">
        <v>1667</v>
      </c>
      <c r="CH29" s="500">
        <v>3.7600000000000001E-2</v>
      </c>
      <c r="CI29" s="499">
        <v>0.98</v>
      </c>
      <c r="CK29" s="496" t="s">
        <v>299</v>
      </c>
      <c r="CL29" s="495">
        <v>30</v>
      </c>
      <c r="CM29" s="495">
        <v>8.1999999999999993</v>
      </c>
      <c r="CN29" s="495">
        <v>3.89</v>
      </c>
      <c r="CO29" s="495">
        <v>30</v>
      </c>
      <c r="CP29" s="495">
        <v>9.1199999999999992</v>
      </c>
      <c r="CQ29" s="495">
        <v>4.28</v>
      </c>
      <c r="CR29" s="494" t="s">
        <v>1650</v>
      </c>
      <c r="CS29" s="494" t="s">
        <v>1621</v>
      </c>
      <c r="CT29" s="490" t="s">
        <v>1620</v>
      </c>
      <c r="CU29" s="490" t="s">
        <v>1642</v>
      </c>
      <c r="CW29" s="501" t="s">
        <v>98</v>
      </c>
      <c r="CX29" s="500">
        <v>-0.39</v>
      </c>
      <c r="CY29" s="500">
        <v>-0.87</v>
      </c>
      <c r="CZ29" s="500">
        <v>0.09</v>
      </c>
      <c r="DA29" s="500">
        <v>0.1145</v>
      </c>
      <c r="DB29" s="500">
        <v>4.48E-2</v>
      </c>
      <c r="DC29" s="499">
        <v>0.93</v>
      </c>
      <c r="DE29" s="496" t="s">
        <v>957</v>
      </c>
      <c r="DF29" s="495">
        <v>54</v>
      </c>
      <c r="DG29" s="495">
        <v>0.47</v>
      </c>
      <c r="DH29" s="495">
        <v>0.51</v>
      </c>
      <c r="DI29" s="495">
        <v>54</v>
      </c>
      <c r="DJ29" s="495">
        <v>0.4</v>
      </c>
      <c r="DK29" s="495">
        <v>0.45</v>
      </c>
      <c r="DL29" s="494" t="s">
        <v>1629</v>
      </c>
      <c r="DM29" s="494" t="s">
        <v>1621</v>
      </c>
      <c r="DN29" s="490" t="s">
        <v>1620</v>
      </c>
      <c r="DO29" s="490" t="s">
        <v>1624</v>
      </c>
      <c r="DQ29" s="501" t="s">
        <v>121</v>
      </c>
      <c r="DR29" s="500">
        <v>0.27</v>
      </c>
      <c r="DS29" s="500">
        <v>-0.5</v>
      </c>
      <c r="DT29" s="500">
        <v>1.05</v>
      </c>
      <c r="DU29" s="500">
        <v>0.48630000000000001</v>
      </c>
      <c r="DV29" s="500">
        <v>0.64590000000000003</v>
      </c>
      <c r="DW29" s="499">
        <v>0.95</v>
      </c>
      <c r="DY29" s="496" t="s">
        <v>299</v>
      </c>
      <c r="DZ29" s="495">
        <v>30</v>
      </c>
      <c r="EA29" s="495">
        <v>168.22</v>
      </c>
      <c r="EB29" s="495">
        <v>128.86000000000001</v>
      </c>
      <c r="EC29" s="495">
        <v>30</v>
      </c>
      <c r="ED29" s="495">
        <v>202.56</v>
      </c>
      <c r="EE29" s="495">
        <v>86.13</v>
      </c>
      <c r="EF29" s="494" t="s">
        <v>1650</v>
      </c>
      <c r="EG29" s="494" t="s">
        <v>1621</v>
      </c>
      <c r="EH29" s="490" t="s">
        <v>1620</v>
      </c>
      <c r="EI29" s="490" t="s">
        <v>1642</v>
      </c>
      <c r="EK29" s="501" t="s">
        <v>5</v>
      </c>
      <c r="EL29" s="500">
        <v>-0.28999999999999998</v>
      </c>
      <c r="EM29" s="500">
        <v>-0.7</v>
      </c>
      <c r="EN29" s="500">
        <v>0.13</v>
      </c>
      <c r="EO29" s="500">
        <v>0.17899999999999999</v>
      </c>
      <c r="EP29" s="500">
        <v>0.1714</v>
      </c>
      <c r="EQ29" s="499">
        <v>0.94</v>
      </c>
      <c r="ES29" s="496" t="s">
        <v>299</v>
      </c>
      <c r="ET29" s="495">
        <v>30</v>
      </c>
      <c r="EU29" s="495">
        <v>16.32</v>
      </c>
      <c r="EV29" s="495">
        <v>3.42</v>
      </c>
      <c r="EW29" s="495">
        <v>30</v>
      </c>
      <c r="EX29" s="495">
        <v>15.34</v>
      </c>
      <c r="EY29" s="495">
        <v>3.04</v>
      </c>
      <c r="EZ29" s="494" t="s">
        <v>1650</v>
      </c>
      <c r="FA29" s="494" t="s">
        <v>1621</v>
      </c>
      <c r="FB29" s="490" t="s">
        <v>1620</v>
      </c>
      <c r="FC29" s="490" t="s">
        <v>1642</v>
      </c>
      <c r="FE29" s="501" t="s">
        <v>251</v>
      </c>
      <c r="FF29" s="500">
        <v>-0.23</v>
      </c>
      <c r="FG29" s="500">
        <v>-0.52</v>
      </c>
      <c r="FH29" s="500">
        <v>0.05</v>
      </c>
      <c r="FI29" s="500">
        <v>0.1042</v>
      </c>
      <c r="FJ29" s="500">
        <v>0.86839999999999995</v>
      </c>
      <c r="FK29" s="499">
        <v>0.75</v>
      </c>
      <c r="FM29" s="496" t="s">
        <v>360</v>
      </c>
      <c r="FN29" s="495">
        <v>32</v>
      </c>
      <c r="FO29" s="495">
        <v>408.31</v>
      </c>
      <c r="FP29" s="495">
        <v>136.26</v>
      </c>
      <c r="FQ29" s="495">
        <v>32</v>
      </c>
      <c r="FR29" s="495">
        <v>442.9</v>
      </c>
      <c r="FS29" s="495">
        <v>124.71</v>
      </c>
      <c r="FT29" s="494" t="s">
        <v>1663</v>
      </c>
      <c r="FU29" s="494" t="s">
        <v>1621</v>
      </c>
      <c r="FV29" s="490" t="s">
        <v>1620</v>
      </c>
      <c r="FW29" s="490" t="s">
        <v>1642</v>
      </c>
      <c r="FY29" s="501" t="s">
        <v>4</v>
      </c>
      <c r="FZ29" s="500">
        <v>-0.39</v>
      </c>
      <c r="GA29" s="500">
        <v>-0.85</v>
      </c>
      <c r="GB29" s="500">
        <v>7.0000000000000007E-2</v>
      </c>
      <c r="GC29" s="500">
        <v>0.1007</v>
      </c>
      <c r="GD29" s="500">
        <v>0.42109999999999997</v>
      </c>
      <c r="GE29" s="499">
        <v>0.93</v>
      </c>
      <c r="GG29" s="496" t="s">
        <v>957</v>
      </c>
      <c r="GH29" s="495">
        <v>54</v>
      </c>
      <c r="GI29" s="495">
        <v>0.39</v>
      </c>
      <c r="GJ29" s="495">
        <v>0.4</v>
      </c>
      <c r="GK29" s="495">
        <v>54</v>
      </c>
      <c r="GL29" s="495">
        <v>0.51</v>
      </c>
      <c r="GM29" s="495">
        <v>0.39</v>
      </c>
      <c r="GN29" s="494" t="s">
        <v>1629</v>
      </c>
      <c r="GO29" s="494" t="s">
        <v>1621</v>
      </c>
      <c r="GP29" s="490" t="s">
        <v>1620</v>
      </c>
      <c r="GQ29" s="490" t="s">
        <v>1624</v>
      </c>
      <c r="GS29" s="501" t="s">
        <v>97</v>
      </c>
      <c r="GT29" s="500">
        <v>-0.26</v>
      </c>
      <c r="GU29" s="500">
        <v>-0.69</v>
      </c>
      <c r="GV29" s="500">
        <v>0.16</v>
      </c>
      <c r="GW29" s="500">
        <v>0.22520000000000001</v>
      </c>
      <c r="GX29" s="500">
        <v>0.50319999999999998</v>
      </c>
      <c r="GY29" s="499">
        <v>0.91</v>
      </c>
    </row>
    <row r="30" spans="1:207" ht="34">
      <c r="A30" s="494" t="s">
        <v>1333</v>
      </c>
      <c r="B30" s="494" t="s">
        <v>1666</v>
      </c>
      <c r="C30" s="497" t="s">
        <v>1621</v>
      </c>
      <c r="D30" s="490" t="s">
        <v>1620</v>
      </c>
      <c r="E30" s="490" t="s">
        <v>1642</v>
      </c>
      <c r="F30" s="494" t="s">
        <v>5</v>
      </c>
      <c r="H30" s="496" t="s">
        <v>940</v>
      </c>
      <c r="I30" s="495">
        <v>23</v>
      </c>
      <c r="J30" s="495">
        <v>13.26</v>
      </c>
      <c r="K30" s="495">
        <v>4.22</v>
      </c>
      <c r="L30" s="495">
        <v>23</v>
      </c>
      <c r="M30" s="495">
        <v>16.559999999999999</v>
      </c>
      <c r="N30" s="495">
        <v>4.95</v>
      </c>
      <c r="O30" s="494" t="s">
        <v>1625</v>
      </c>
      <c r="P30" s="494" t="s">
        <v>1621</v>
      </c>
      <c r="Q30" s="490" t="s">
        <v>1620</v>
      </c>
      <c r="R30" s="490" t="s">
        <v>1624</v>
      </c>
      <c r="AC30" s="496" t="s">
        <v>360</v>
      </c>
      <c r="AD30" s="495">
        <v>32</v>
      </c>
      <c r="AE30" s="495">
        <v>102.93</v>
      </c>
      <c r="AF30" s="495">
        <v>211.28</v>
      </c>
      <c r="AG30" s="495">
        <v>32</v>
      </c>
      <c r="AH30" s="495">
        <v>118.04</v>
      </c>
      <c r="AI30" s="495">
        <v>166.55</v>
      </c>
      <c r="AJ30" s="494" t="s">
        <v>1663</v>
      </c>
      <c r="AK30" s="494" t="s">
        <v>1621</v>
      </c>
      <c r="AL30" s="490" t="s">
        <v>1620</v>
      </c>
      <c r="AM30" s="490" t="s">
        <v>1642</v>
      </c>
      <c r="AW30" s="496" t="s">
        <v>360</v>
      </c>
      <c r="AX30" s="495">
        <v>32</v>
      </c>
      <c r="AY30" s="495">
        <v>77.209999999999994</v>
      </c>
      <c r="AZ30" s="495">
        <v>65.7</v>
      </c>
      <c r="BA30" s="495">
        <v>32</v>
      </c>
      <c r="BB30" s="495">
        <v>76.959999999999994</v>
      </c>
      <c r="BC30" s="495">
        <v>60.48</v>
      </c>
      <c r="BD30" s="494" t="s">
        <v>1663</v>
      </c>
      <c r="BE30" s="494" t="s">
        <v>1621</v>
      </c>
      <c r="BF30" s="490" t="s">
        <v>1620</v>
      </c>
      <c r="BG30" s="490" t="s">
        <v>1642</v>
      </c>
      <c r="BQ30" s="496" t="s">
        <v>116</v>
      </c>
      <c r="BR30" s="495">
        <v>59</v>
      </c>
      <c r="BS30" s="495">
        <v>3.73</v>
      </c>
      <c r="BT30" s="495">
        <v>0.12</v>
      </c>
      <c r="BU30" s="495">
        <v>59</v>
      </c>
      <c r="BV30" s="495">
        <v>2</v>
      </c>
      <c r="BW30" s="495">
        <v>0.1</v>
      </c>
      <c r="BX30" s="494" t="s">
        <v>1627</v>
      </c>
      <c r="BY30" s="494" t="s">
        <v>1621</v>
      </c>
      <c r="BZ30" s="490" t="s">
        <v>1620</v>
      </c>
      <c r="CA30" s="490" t="s">
        <v>1624</v>
      </c>
      <c r="CK30" s="496" t="s">
        <v>957</v>
      </c>
      <c r="CL30" s="495">
        <v>54</v>
      </c>
      <c r="CM30" s="495">
        <v>1.1399999999999999</v>
      </c>
      <c r="CN30" s="495">
        <v>0.4</v>
      </c>
      <c r="CO30" s="495">
        <v>54</v>
      </c>
      <c r="CP30" s="495">
        <v>1.0900000000000001</v>
      </c>
      <c r="CQ30" s="495">
        <v>0.44</v>
      </c>
      <c r="CR30" s="494" t="s">
        <v>1629</v>
      </c>
      <c r="CS30" s="494" t="s">
        <v>1621</v>
      </c>
      <c r="CT30" s="490" t="s">
        <v>1620</v>
      </c>
      <c r="CU30" s="490" t="s">
        <v>1624</v>
      </c>
      <c r="DE30" s="496" t="s">
        <v>116</v>
      </c>
      <c r="DF30" s="495">
        <v>59</v>
      </c>
      <c r="DG30" s="495">
        <v>255.59</v>
      </c>
      <c r="DH30" s="495">
        <v>8.07</v>
      </c>
      <c r="DI30" s="495">
        <v>59</v>
      </c>
      <c r="DJ30" s="495">
        <v>241.83</v>
      </c>
      <c r="DK30" s="495">
        <v>6.23</v>
      </c>
      <c r="DL30" s="494" t="s">
        <v>1627</v>
      </c>
      <c r="DM30" s="494" t="s">
        <v>1621</v>
      </c>
      <c r="DN30" s="490" t="s">
        <v>1620</v>
      </c>
      <c r="DO30" s="490" t="s">
        <v>1624</v>
      </c>
      <c r="DY30" s="496" t="s">
        <v>940</v>
      </c>
      <c r="DZ30" s="495">
        <v>23</v>
      </c>
      <c r="EA30" s="495">
        <v>5.93</v>
      </c>
      <c r="EB30" s="495">
        <v>3.58</v>
      </c>
      <c r="EC30" s="495">
        <v>23</v>
      </c>
      <c r="ED30" s="495">
        <v>5.33</v>
      </c>
      <c r="EE30" s="495">
        <v>3.67</v>
      </c>
      <c r="EF30" s="494" t="s">
        <v>1625</v>
      </c>
      <c r="EG30" s="494" t="s">
        <v>1621</v>
      </c>
      <c r="EH30" s="490" t="s">
        <v>1620</v>
      </c>
      <c r="EI30" s="490" t="s">
        <v>1624</v>
      </c>
      <c r="ES30" s="496" t="s">
        <v>940</v>
      </c>
      <c r="ET30" s="495">
        <v>23</v>
      </c>
      <c r="EU30" s="495">
        <v>6.96</v>
      </c>
      <c r="EV30" s="495">
        <v>3</v>
      </c>
      <c r="EW30" s="495">
        <v>23</v>
      </c>
      <c r="EX30" s="495">
        <v>8.36</v>
      </c>
      <c r="EY30" s="495">
        <v>3.93</v>
      </c>
      <c r="EZ30" s="494" t="s">
        <v>1625</v>
      </c>
      <c r="FA30" s="494" t="s">
        <v>1621</v>
      </c>
      <c r="FB30" s="490" t="s">
        <v>1620</v>
      </c>
      <c r="FC30" s="490" t="s">
        <v>1624</v>
      </c>
      <c r="FM30" s="496" t="s">
        <v>262</v>
      </c>
      <c r="FN30" s="495">
        <v>28</v>
      </c>
      <c r="FO30" s="495">
        <v>6.1</v>
      </c>
      <c r="FP30" s="495">
        <v>8.3000000000000007</v>
      </c>
      <c r="FQ30" s="495">
        <v>28</v>
      </c>
      <c r="FR30" s="495">
        <v>16.8</v>
      </c>
      <c r="FS30" s="495">
        <v>38.9</v>
      </c>
      <c r="FT30" s="497" t="s">
        <v>1671</v>
      </c>
      <c r="FU30" s="497" t="s">
        <v>1621</v>
      </c>
      <c r="FV30" s="498" t="s">
        <v>1670</v>
      </c>
      <c r="FW30" s="498" t="s">
        <v>1669</v>
      </c>
      <c r="GG30" s="496" t="s">
        <v>262</v>
      </c>
      <c r="GH30" s="495">
        <v>28</v>
      </c>
      <c r="GI30" s="495">
        <v>76</v>
      </c>
      <c r="GJ30" s="495">
        <v>100</v>
      </c>
      <c r="GK30" s="495">
        <v>28</v>
      </c>
      <c r="GL30" s="495">
        <v>113</v>
      </c>
      <c r="GM30" s="495">
        <v>188</v>
      </c>
      <c r="GN30" s="497" t="s">
        <v>1671</v>
      </c>
      <c r="GO30" s="497" t="s">
        <v>1621</v>
      </c>
      <c r="GP30" s="498" t="s">
        <v>1670</v>
      </c>
      <c r="GQ30" s="498" t="s">
        <v>1669</v>
      </c>
    </row>
    <row r="31" spans="1:207" ht="34">
      <c r="A31" s="494" t="s">
        <v>1354</v>
      </c>
      <c r="B31" s="494" t="s">
        <v>1665</v>
      </c>
      <c r="C31" s="494" t="s">
        <v>1621</v>
      </c>
      <c r="D31" s="490" t="s">
        <v>1620</v>
      </c>
      <c r="E31" s="490" t="s">
        <v>1642</v>
      </c>
      <c r="F31" s="494" t="s">
        <v>1664</v>
      </c>
      <c r="H31" s="496" t="s">
        <v>360</v>
      </c>
      <c r="I31" s="495">
        <v>32</v>
      </c>
      <c r="J31" s="495">
        <v>352.51</v>
      </c>
      <c r="K31" s="495">
        <v>300.37</v>
      </c>
      <c r="L31" s="495">
        <v>32</v>
      </c>
      <c r="M31" s="495">
        <v>444.13</v>
      </c>
      <c r="N31" s="495">
        <v>323.63</v>
      </c>
      <c r="O31" s="494" t="s">
        <v>1663</v>
      </c>
      <c r="P31" s="494" t="s">
        <v>1621</v>
      </c>
      <c r="Q31" s="490" t="s">
        <v>1620</v>
      </c>
      <c r="R31" s="490" t="s">
        <v>1642</v>
      </c>
      <c r="AC31" s="496" t="s">
        <v>957</v>
      </c>
      <c r="AD31" s="495">
        <v>54</v>
      </c>
      <c r="AE31" s="495">
        <v>0.08</v>
      </c>
      <c r="AF31" s="495">
        <v>0.37</v>
      </c>
      <c r="AG31" s="495">
        <v>54</v>
      </c>
      <c r="AH31" s="495">
        <v>0.06</v>
      </c>
      <c r="AI31" s="495">
        <v>0.44</v>
      </c>
      <c r="AJ31" s="494" t="s">
        <v>1629</v>
      </c>
      <c r="AK31" s="494" t="s">
        <v>1621</v>
      </c>
      <c r="AL31" s="490" t="s">
        <v>1620</v>
      </c>
      <c r="AM31" s="490" t="s">
        <v>1624</v>
      </c>
      <c r="AW31" s="496" t="s">
        <v>957</v>
      </c>
      <c r="AX31" s="495">
        <v>54</v>
      </c>
      <c r="AY31" s="495">
        <v>1.86</v>
      </c>
      <c r="AZ31" s="495">
        <v>0.38</v>
      </c>
      <c r="BA31" s="495">
        <v>54</v>
      </c>
      <c r="BB31" s="495">
        <v>1.88</v>
      </c>
      <c r="BC31" s="495">
        <v>0.34</v>
      </c>
      <c r="BD31" s="494" t="s">
        <v>1629</v>
      </c>
      <c r="BE31" s="494" t="s">
        <v>1621</v>
      </c>
      <c r="BF31" s="490" t="s">
        <v>1620</v>
      </c>
      <c r="BG31" s="490" t="s">
        <v>1624</v>
      </c>
      <c r="BQ31" s="496" t="s">
        <v>286</v>
      </c>
      <c r="BR31" s="495">
        <v>30</v>
      </c>
      <c r="BS31" s="495">
        <v>6.37</v>
      </c>
      <c r="BT31" s="495">
        <v>3.68</v>
      </c>
      <c r="BU31" s="495">
        <v>30</v>
      </c>
      <c r="BV31" s="495">
        <v>8.4</v>
      </c>
      <c r="BW31" s="495">
        <v>3.86</v>
      </c>
      <c r="BX31" s="490" t="s">
        <v>1097</v>
      </c>
      <c r="BY31" s="490" t="s">
        <v>1621</v>
      </c>
      <c r="BZ31" s="490" t="s">
        <v>1620</v>
      </c>
      <c r="CA31" s="490" t="s">
        <v>1642</v>
      </c>
      <c r="CK31" s="496" t="s">
        <v>987</v>
      </c>
      <c r="CL31" s="495">
        <v>17</v>
      </c>
      <c r="CM31" s="495">
        <v>0.37</v>
      </c>
      <c r="CN31" s="495">
        <v>0.62</v>
      </c>
      <c r="CO31" s="495">
        <v>17</v>
      </c>
      <c r="CP31" s="495">
        <v>0.27</v>
      </c>
      <c r="CQ31" s="495">
        <v>0.35</v>
      </c>
      <c r="CR31" s="494" t="s">
        <v>1648</v>
      </c>
      <c r="CS31" s="494" t="s">
        <v>1621</v>
      </c>
      <c r="CT31" s="490" t="s">
        <v>1620</v>
      </c>
      <c r="CU31" s="490" t="s">
        <v>1647</v>
      </c>
      <c r="DE31" s="496" t="s">
        <v>1306</v>
      </c>
      <c r="DF31" s="495">
        <v>31</v>
      </c>
      <c r="DG31" s="495">
        <v>3643.37</v>
      </c>
      <c r="DH31" s="495">
        <v>265.52</v>
      </c>
      <c r="DI31" s="495">
        <v>31</v>
      </c>
      <c r="DJ31" s="495">
        <v>3658.59</v>
      </c>
      <c r="DK31" s="495">
        <v>684.75</v>
      </c>
      <c r="DL31" s="494" t="s">
        <v>1659</v>
      </c>
      <c r="DM31" s="494" t="s">
        <v>1621</v>
      </c>
      <c r="DN31" s="490" t="s">
        <v>1620</v>
      </c>
      <c r="DO31" s="490" t="s">
        <v>1644</v>
      </c>
      <c r="DY31" s="496" t="s">
        <v>360</v>
      </c>
      <c r="DZ31" s="495">
        <v>32</v>
      </c>
      <c r="EA31" s="495">
        <v>731.31</v>
      </c>
      <c r="EB31" s="495">
        <v>269.2</v>
      </c>
      <c r="EC31" s="495">
        <v>32</v>
      </c>
      <c r="ED31" s="495">
        <v>751.66</v>
      </c>
      <c r="EE31" s="495">
        <v>312.31</v>
      </c>
      <c r="EF31" s="494" t="s">
        <v>1663</v>
      </c>
      <c r="EG31" s="494" t="s">
        <v>1621</v>
      </c>
      <c r="EH31" s="490" t="s">
        <v>1620</v>
      </c>
      <c r="EI31" s="490" t="s">
        <v>1642</v>
      </c>
      <c r="ES31" s="496" t="s">
        <v>957</v>
      </c>
      <c r="ET31" s="495">
        <v>54</v>
      </c>
      <c r="EU31" s="495">
        <v>0.06</v>
      </c>
      <c r="EV31" s="495">
        <v>0.39</v>
      </c>
      <c r="EW31" s="495">
        <v>54</v>
      </c>
      <c r="EX31" s="495">
        <v>0.12</v>
      </c>
      <c r="EY31" s="495">
        <v>0.43</v>
      </c>
      <c r="EZ31" s="494" t="s">
        <v>1629</v>
      </c>
      <c r="FA31" s="494" t="s">
        <v>1621</v>
      </c>
      <c r="FB31" s="490" t="s">
        <v>1620</v>
      </c>
      <c r="FC31" s="490" t="s">
        <v>1624</v>
      </c>
      <c r="FM31" s="496" t="s">
        <v>987</v>
      </c>
      <c r="FN31" s="495">
        <v>17</v>
      </c>
      <c r="FO31" s="495">
        <v>1.31</v>
      </c>
      <c r="FP31" s="495">
        <v>0.98</v>
      </c>
      <c r="FQ31" s="495">
        <v>17</v>
      </c>
      <c r="FR31" s="495">
        <v>0.96</v>
      </c>
      <c r="FS31" s="495">
        <v>0.84</v>
      </c>
      <c r="FT31" s="494" t="s">
        <v>1648</v>
      </c>
      <c r="FU31" s="494" t="s">
        <v>1621</v>
      </c>
      <c r="FV31" s="490" t="s">
        <v>1620</v>
      </c>
      <c r="FW31" s="490" t="s">
        <v>1647</v>
      </c>
      <c r="GG31" s="496" t="s">
        <v>270</v>
      </c>
      <c r="GH31" s="495">
        <v>66</v>
      </c>
      <c r="GI31" s="495">
        <v>11.15</v>
      </c>
      <c r="GJ31" s="495">
        <v>7.28</v>
      </c>
      <c r="GK31" s="495">
        <v>66</v>
      </c>
      <c r="GL31" s="495">
        <v>11.3</v>
      </c>
      <c r="GM31" s="495">
        <v>7.9</v>
      </c>
      <c r="GN31" s="494" t="s">
        <v>1645</v>
      </c>
      <c r="GO31" s="494" t="s">
        <v>1621</v>
      </c>
      <c r="GP31" s="490" t="s">
        <v>1620</v>
      </c>
      <c r="GQ31" s="490" t="s">
        <v>1644</v>
      </c>
    </row>
    <row r="32" spans="1:207" ht="85">
      <c r="A32" s="494" t="s">
        <v>360</v>
      </c>
      <c r="B32" s="494" t="s">
        <v>1663</v>
      </c>
      <c r="C32" s="494" t="s">
        <v>1621</v>
      </c>
      <c r="D32" s="490" t="s">
        <v>1620</v>
      </c>
      <c r="E32" s="490" t="s">
        <v>1642</v>
      </c>
      <c r="F32" s="494" t="s">
        <v>1662</v>
      </c>
      <c r="H32" s="496" t="s">
        <v>957</v>
      </c>
      <c r="I32" s="495">
        <v>54</v>
      </c>
      <c r="J32" s="495">
        <v>1.1599999999999999</v>
      </c>
      <c r="K32" s="495">
        <v>0.33</v>
      </c>
      <c r="L32" s="495">
        <v>54</v>
      </c>
      <c r="M32" s="495">
        <v>1</v>
      </c>
      <c r="N32" s="495">
        <v>0.28000000000000003</v>
      </c>
      <c r="O32" s="494" t="s">
        <v>1629</v>
      </c>
      <c r="P32" s="494" t="s">
        <v>1621</v>
      </c>
      <c r="Q32" s="490" t="s">
        <v>1620</v>
      </c>
      <c r="R32" s="490" t="s">
        <v>1624</v>
      </c>
      <c r="AC32" s="496" t="s">
        <v>116</v>
      </c>
      <c r="AD32" s="495">
        <v>59</v>
      </c>
      <c r="AE32" s="495">
        <v>27.69</v>
      </c>
      <c r="AF32" s="495">
        <v>3.58</v>
      </c>
      <c r="AG32" s="495">
        <v>59</v>
      </c>
      <c r="AH32" s="495">
        <v>33.83</v>
      </c>
      <c r="AI32" s="495">
        <v>4.1100000000000003</v>
      </c>
      <c r="AJ32" s="494" t="s">
        <v>1627</v>
      </c>
      <c r="AK32" s="494" t="s">
        <v>1621</v>
      </c>
      <c r="AL32" s="490" t="s">
        <v>1620</v>
      </c>
      <c r="AM32" s="490" t="s">
        <v>1624</v>
      </c>
      <c r="AW32" s="496" t="s">
        <v>116</v>
      </c>
      <c r="AX32" s="495">
        <v>59</v>
      </c>
      <c r="AY32" s="495">
        <v>28.27</v>
      </c>
      <c r="AZ32" s="495">
        <v>3.06</v>
      </c>
      <c r="BA32" s="495">
        <v>59</v>
      </c>
      <c r="BB32" s="495">
        <v>32.89</v>
      </c>
      <c r="BC32" s="495">
        <v>3.92</v>
      </c>
      <c r="BD32" s="494" t="s">
        <v>1627</v>
      </c>
      <c r="BE32" s="494" t="s">
        <v>1621</v>
      </c>
      <c r="BF32" s="490" t="s">
        <v>1620</v>
      </c>
      <c r="BG32" s="490" t="s">
        <v>1624</v>
      </c>
      <c r="BQ32" s="496" t="s">
        <v>41</v>
      </c>
      <c r="BR32" s="495">
        <v>102</v>
      </c>
      <c r="BS32" s="495">
        <v>55.05</v>
      </c>
      <c r="BT32" s="495">
        <v>13.12</v>
      </c>
      <c r="BU32" s="495">
        <v>102</v>
      </c>
      <c r="BV32" s="495">
        <v>63.57</v>
      </c>
      <c r="BW32" s="495">
        <v>18.32</v>
      </c>
      <c r="BX32" s="494" t="s">
        <v>1640</v>
      </c>
      <c r="BY32" s="494" t="s">
        <v>1621</v>
      </c>
      <c r="BZ32" s="490" t="s">
        <v>1636</v>
      </c>
      <c r="CA32" s="490" t="s">
        <v>1639</v>
      </c>
      <c r="CK32" s="496" t="s">
        <v>116</v>
      </c>
      <c r="CL32" s="495">
        <v>59</v>
      </c>
      <c r="CM32" s="495">
        <v>3.75</v>
      </c>
      <c r="CN32" s="495">
        <v>0.78</v>
      </c>
      <c r="CO32" s="495">
        <v>59</v>
      </c>
      <c r="CP32" s="495">
        <v>3.16</v>
      </c>
      <c r="CQ32" s="495">
        <v>0.41</v>
      </c>
      <c r="CR32" s="494" t="s">
        <v>1627</v>
      </c>
      <c r="CS32" s="494" t="s">
        <v>1621</v>
      </c>
      <c r="CT32" s="490" t="s">
        <v>1620</v>
      </c>
      <c r="CU32" s="490" t="s">
        <v>1624</v>
      </c>
      <c r="DE32" s="496" t="s">
        <v>286</v>
      </c>
      <c r="DF32" s="495">
        <v>30</v>
      </c>
      <c r="DG32" s="495">
        <v>9.1999999999999993</v>
      </c>
      <c r="DH32" s="495">
        <v>5.44</v>
      </c>
      <c r="DI32" s="495">
        <v>30</v>
      </c>
      <c r="DJ32" s="495">
        <v>11.37</v>
      </c>
      <c r="DK32" s="495">
        <v>4.5999999999999996</v>
      </c>
      <c r="DL32" s="490" t="s">
        <v>1097</v>
      </c>
      <c r="DM32" s="490" t="s">
        <v>1621</v>
      </c>
      <c r="DN32" s="490" t="s">
        <v>1620</v>
      </c>
      <c r="DO32" s="490" t="s">
        <v>1642</v>
      </c>
      <c r="DY32" s="496" t="s">
        <v>957</v>
      </c>
      <c r="DZ32" s="495">
        <v>54</v>
      </c>
      <c r="EA32" s="495">
        <v>0.66</v>
      </c>
      <c r="EB32" s="495">
        <v>0.25</v>
      </c>
      <c r="EC32" s="495">
        <v>54</v>
      </c>
      <c r="ED32" s="495">
        <v>0.73</v>
      </c>
      <c r="EE32" s="495">
        <v>0.22</v>
      </c>
      <c r="EF32" s="494" t="s">
        <v>1629</v>
      </c>
      <c r="EG32" s="494" t="s">
        <v>1621</v>
      </c>
      <c r="EH32" s="490" t="s">
        <v>1620</v>
      </c>
      <c r="EI32" s="490" t="s">
        <v>1624</v>
      </c>
      <c r="ES32" s="496" t="s">
        <v>1013</v>
      </c>
      <c r="ET32" s="495">
        <v>14</v>
      </c>
      <c r="EU32" s="495">
        <v>8.9</v>
      </c>
      <c r="EV32" s="495">
        <v>2</v>
      </c>
      <c r="EW32" s="495">
        <v>14</v>
      </c>
      <c r="EX32" s="495">
        <v>13</v>
      </c>
      <c r="EY32" s="495">
        <v>3.7</v>
      </c>
      <c r="EZ32" s="494" t="s">
        <v>1656</v>
      </c>
      <c r="FA32" s="494" t="s">
        <v>1621</v>
      </c>
      <c r="FB32" s="490" t="s">
        <v>1620</v>
      </c>
      <c r="FC32" s="490" t="s">
        <v>1642</v>
      </c>
      <c r="FM32" s="496" t="s">
        <v>116</v>
      </c>
      <c r="FN32" s="495">
        <v>59</v>
      </c>
      <c r="FO32" s="495">
        <v>7.54</v>
      </c>
      <c r="FP32" s="495">
        <v>1.27</v>
      </c>
      <c r="FQ32" s="495">
        <v>59</v>
      </c>
      <c r="FR32" s="495">
        <v>11.42</v>
      </c>
      <c r="FS32" s="495">
        <v>2.2599999999999998</v>
      </c>
      <c r="FT32" s="494" t="s">
        <v>1627</v>
      </c>
      <c r="FU32" s="494" t="s">
        <v>1621</v>
      </c>
      <c r="FV32" s="490" t="s">
        <v>1620</v>
      </c>
      <c r="FW32" s="490" t="s">
        <v>1624</v>
      </c>
      <c r="GG32" s="496" t="s">
        <v>116</v>
      </c>
      <c r="GH32" s="495">
        <v>59</v>
      </c>
      <c r="GI32" s="495">
        <v>375.28</v>
      </c>
      <c r="GJ32" s="495">
        <v>80.91</v>
      </c>
      <c r="GK32" s="495">
        <v>59</v>
      </c>
      <c r="GL32" s="495">
        <v>569.48</v>
      </c>
      <c r="GM32" s="495">
        <v>91.57</v>
      </c>
      <c r="GN32" s="494" t="s">
        <v>1627</v>
      </c>
      <c r="GO32" s="494" t="s">
        <v>1621</v>
      </c>
      <c r="GP32" s="490" t="s">
        <v>1620</v>
      </c>
      <c r="GQ32" s="490" t="s">
        <v>1624</v>
      </c>
    </row>
    <row r="33" spans="1:199" ht="68">
      <c r="A33" s="494" t="s">
        <v>1307</v>
      </c>
      <c r="B33" s="494" t="s">
        <v>1661</v>
      </c>
      <c r="C33" s="494" t="s">
        <v>1621</v>
      </c>
      <c r="D33" s="490" t="s">
        <v>1620</v>
      </c>
      <c r="E33" s="490" t="s">
        <v>1644</v>
      </c>
      <c r="F33" s="494" t="s">
        <v>1660</v>
      </c>
      <c r="H33" s="496" t="s">
        <v>1354</v>
      </c>
      <c r="I33" s="495">
        <v>10</v>
      </c>
      <c r="J33" s="495">
        <v>14.2</v>
      </c>
      <c r="K33" s="495">
        <v>24.6</v>
      </c>
      <c r="L33" s="495">
        <v>10</v>
      </c>
      <c r="M33" s="495">
        <v>19.8</v>
      </c>
      <c r="N33" s="495">
        <v>26.7</v>
      </c>
      <c r="O33" s="494" t="s">
        <v>1665</v>
      </c>
      <c r="P33" s="494" t="s">
        <v>1621</v>
      </c>
      <c r="Q33" s="490" t="s">
        <v>1620</v>
      </c>
      <c r="R33" s="490" t="s">
        <v>1642</v>
      </c>
      <c r="AC33" s="496" t="s">
        <v>1306</v>
      </c>
      <c r="AD33" s="495">
        <v>31</v>
      </c>
      <c r="AE33" s="495">
        <v>182.26</v>
      </c>
      <c r="AF33" s="495">
        <v>62.13</v>
      </c>
      <c r="AG33" s="495">
        <v>31</v>
      </c>
      <c r="AH33" s="495">
        <v>116.04</v>
      </c>
      <c r="AI33" s="495">
        <v>28.72</v>
      </c>
      <c r="AJ33" s="494" t="s">
        <v>1659</v>
      </c>
      <c r="AK33" s="494" t="s">
        <v>1621</v>
      </c>
      <c r="AL33" s="490" t="s">
        <v>1620</v>
      </c>
      <c r="AM33" s="490" t="s">
        <v>1644</v>
      </c>
      <c r="AW33" s="496" t="s">
        <v>1354</v>
      </c>
      <c r="AX33" s="495">
        <v>10</v>
      </c>
      <c r="AY33" s="495">
        <v>9.1999999999999993</v>
      </c>
      <c r="AZ33" s="495">
        <v>2.1</v>
      </c>
      <c r="BA33" s="495">
        <v>10</v>
      </c>
      <c r="BB33" s="495">
        <v>11.2</v>
      </c>
      <c r="BC33" s="495">
        <v>7.2</v>
      </c>
      <c r="BD33" s="494" t="s">
        <v>1665</v>
      </c>
      <c r="BE33" s="494" t="s">
        <v>1621</v>
      </c>
      <c r="BF33" s="490" t="s">
        <v>1620</v>
      </c>
      <c r="BG33" s="490" t="s">
        <v>1642</v>
      </c>
      <c r="BQ33" s="496" t="s">
        <v>248</v>
      </c>
      <c r="BR33" s="495">
        <v>50</v>
      </c>
      <c r="BS33" s="495">
        <v>8.16</v>
      </c>
      <c r="BT33" s="495">
        <v>9.16</v>
      </c>
      <c r="BU33" s="495">
        <v>50</v>
      </c>
      <c r="BV33" s="495">
        <v>8.6199999999999992</v>
      </c>
      <c r="BW33" s="495">
        <v>9.32</v>
      </c>
      <c r="BX33" s="494" t="s">
        <v>1633</v>
      </c>
      <c r="BY33" s="494" t="s">
        <v>1621</v>
      </c>
      <c r="BZ33" s="490" t="s">
        <v>1620</v>
      </c>
      <c r="CA33" s="490" t="s">
        <v>1624</v>
      </c>
      <c r="CK33" s="496" t="s">
        <v>995</v>
      </c>
      <c r="CL33" s="495">
        <v>50</v>
      </c>
      <c r="CM33" s="495">
        <v>405.34</v>
      </c>
      <c r="CN33" s="495">
        <v>100.66</v>
      </c>
      <c r="CO33" s="495">
        <v>50</v>
      </c>
      <c r="CP33" s="495">
        <v>468.37</v>
      </c>
      <c r="CQ33" s="495">
        <v>104.42</v>
      </c>
      <c r="CR33" s="494" t="s">
        <v>1622</v>
      </c>
      <c r="CS33" s="494" t="s">
        <v>1621</v>
      </c>
      <c r="CT33" s="490" t="s">
        <v>1620</v>
      </c>
      <c r="CU33" s="490" t="s">
        <v>1619</v>
      </c>
      <c r="DE33" s="496" t="s">
        <v>41</v>
      </c>
      <c r="DF33" s="495">
        <v>102</v>
      </c>
      <c r="DG33" s="495">
        <v>15.89</v>
      </c>
      <c r="DH33" s="495">
        <v>18.09</v>
      </c>
      <c r="DI33" s="495">
        <v>102</v>
      </c>
      <c r="DJ33" s="495">
        <v>19.95</v>
      </c>
      <c r="DK33" s="495">
        <v>19.190000000000001</v>
      </c>
      <c r="DL33" s="494" t="s">
        <v>1640</v>
      </c>
      <c r="DM33" s="494" t="s">
        <v>1621</v>
      </c>
      <c r="DN33" s="490" t="s">
        <v>1636</v>
      </c>
      <c r="DO33" s="490" t="s">
        <v>1639</v>
      </c>
      <c r="DY33" s="496" t="s">
        <v>262</v>
      </c>
      <c r="DZ33" s="495">
        <v>28</v>
      </c>
      <c r="EA33" s="495">
        <v>25.6</v>
      </c>
      <c r="EB33" s="495">
        <v>23</v>
      </c>
      <c r="EC33" s="495">
        <v>28</v>
      </c>
      <c r="ED33" s="495">
        <v>27</v>
      </c>
      <c r="EE33" s="495">
        <v>18.5</v>
      </c>
      <c r="EF33" s="497" t="s">
        <v>1671</v>
      </c>
      <c r="EG33" s="497" t="s">
        <v>1621</v>
      </c>
      <c r="EH33" s="498" t="s">
        <v>1670</v>
      </c>
      <c r="EI33" s="498" t="s">
        <v>1669</v>
      </c>
      <c r="ES33" s="496" t="s">
        <v>116</v>
      </c>
      <c r="ET33" s="495">
        <v>59</v>
      </c>
      <c r="EU33" s="495">
        <v>8.39</v>
      </c>
      <c r="EV33" s="495">
        <v>0.95</v>
      </c>
      <c r="EW33" s="495">
        <v>59</v>
      </c>
      <c r="EX33" s="495">
        <v>9.48</v>
      </c>
      <c r="EY33" s="495">
        <v>1.07</v>
      </c>
      <c r="EZ33" s="494" t="s">
        <v>1627</v>
      </c>
      <c r="FA33" s="494" t="s">
        <v>1621</v>
      </c>
      <c r="FB33" s="490" t="s">
        <v>1620</v>
      </c>
      <c r="FC33" s="490" t="s">
        <v>1624</v>
      </c>
      <c r="FM33" s="496" t="s">
        <v>995</v>
      </c>
      <c r="FN33" s="495">
        <v>50</v>
      </c>
      <c r="FO33" s="495">
        <v>31.24</v>
      </c>
      <c r="FP33" s="495">
        <v>8</v>
      </c>
      <c r="FQ33" s="495">
        <v>50</v>
      </c>
      <c r="FR33" s="495">
        <v>35.130000000000003</v>
      </c>
      <c r="FS33" s="495">
        <v>8.52</v>
      </c>
      <c r="FT33" s="494" t="s">
        <v>1622</v>
      </c>
      <c r="FU33" s="494" t="s">
        <v>1621</v>
      </c>
      <c r="FV33" s="490" t="s">
        <v>1620</v>
      </c>
      <c r="FW33" s="490" t="s">
        <v>1619</v>
      </c>
      <c r="GG33" s="496" t="s">
        <v>1257</v>
      </c>
      <c r="GH33" s="495">
        <v>28</v>
      </c>
      <c r="GI33" s="495">
        <v>6.93</v>
      </c>
      <c r="GJ33" s="495">
        <v>2.3199999999999998</v>
      </c>
      <c r="GK33" s="495">
        <v>28</v>
      </c>
      <c r="GL33" s="495">
        <v>6.31</v>
      </c>
      <c r="GM33" s="495">
        <v>1.95</v>
      </c>
      <c r="GN33" s="494" t="s">
        <v>1657</v>
      </c>
      <c r="GO33" s="494" t="s">
        <v>1621</v>
      </c>
      <c r="GP33" s="490" t="s">
        <v>1620</v>
      </c>
      <c r="GQ33" s="490" t="s">
        <v>1644</v>
      </c>
    </row>
    <row r="34" spans="1:199" ht="102">
      <c r="A34" s="494" t="s">
        <v>1306</v>
      </c>
      <c r="B34" s="494" t="s">
        <v>1659</v>
      </c>
      <c r="C34" s="494" t="s">
        <v>1621</v>
      </c>
      <c r="D34" s="490" t="s">
        <v>1620</v>
      </c>
      <c r="E34" s="490" t="s">
        <v>1644</v>
      </c>
      <c r="F34" s="494" t="s">
        <v>1658</v>
      </c>
      <c r="H34" s="496" t="s">
        <v>1307</v>
      </c>
      <c r="I34" s="495">
        <v>14</v>
      </c>
      <c r="J34" s="495">
        <v>282.60000000000002</v>
      </c>
      <c r="K34" s="495">
        <v>247</v>
      </c>
      <c r="L34" s="495">
        <v>24</v>
      </c>
      <c r="M34" s="495">
        <v>241.7</v>
      </c>
      <c r="N34" s="495">
        <v>273</v>
      </c>
      <c r="O34" s="494" t="s">
        <v>1661</v>
      </c>
      <c r="P34" s="494" t="s">
        <v>1621</v>
      </c>
      <c r="Q34" s="490" t="s">
        <v>1620</v>
      </c>
      <c r="R34" s="490" t="s">
        <v>1644</v>
      </c>
      <c r="AC34" s="496" t="s">
        <v>286</v>
      </c>
      <c r="AD34" s="495">
        <v>30</v>
      </c>
      <c r="AE34" s="495">
        <v>9</v>
      </c>
      <c r="AF34" s="495">
        <v>7.77</v>
      </c>
      <c r="AG34" s="495">
        <v>30</v>
      </c>
      <c r="AH34" s="495">
        <v>16.329999999999998</v>
      </c>
      <c r="AI34" s="495">
        <v>13.77</v>
      </c>
      <c r="AJ34" s="490" t="s">
        <v>1097</v>
      </c>
      <c r="AK34" s="490" t="s">
        <v>1621</v>
      </c>
      <c r="AL34" s="490" t="s">
        <v>1620</v>
      </c>
      <c r="AM34" s="490" t="s">
        <v>1642</v>
      </c>
      <c r="AW34" s="496" t="s">
        <v>1306</v>
      </c>
      <c r="AX34" s="495">
        <v>31</v>
      </c>
      <c r="AY34" s="495">
        <v>33.299999999999997</v>
      </c>
      <c r="AZ34" s="495">
        <v>5.59</v>
      </c>
      <c r="BA34" s="495">
        <v>31</v>
      </c>
      <c r="BB34" s="495">
        <v>45.28</v>
      </c>
      <c r="BC34" s="495">
        <v>16.100000000000001</v>
      </c>
      <c r="BD34" s="494" t="s">
        <v>1659</v>
      </c>
      <c r="BE34" s="494" t="s">
        <v>1621</v>
      </c>
      <c r="BF34" s="490" t="s">
        <v>1620</v>
      </c>
      <c r="BG34" s="490" t="s">
        <v>1644</v>
      </c>
      <c r="CK34" s="496" t="s">
        <v>1306</v>
      </c>
      <c r="CL34" s="495">
        <v>31</v>
      </c>
      <c r="CM34" s="495">
        <v>628.79</v>
      </c>
      <c r="CN34" s="495">
        <v>171.3</v>
      </c>
      <c r="CO34" s="495">
        <v>31</v>
      </c>
      <c r="CP34" s="495">
        <v>777.23</v>
      </c>
      <c r="CQ34" s="495">
        <v>90.64</v>
      </c>
      <c r="CR34" s="494" t="s">
        <v>1659</v>
      </c>
      <c r="CS34" s="494" t="s">
        <v>1621</v>
      </c>
      <c r="CT34" s="490" t="s">
        <v>1620</v>
      </c>
      <c r="CU34" s="490" t="s">
        <v>1644</v>
      </c>
      <c r="DY34" s="496" t="s">
        <v>270</v>
      </c>
      <c r="DZ34" s="495">
        <v>66</v>
      </c>
      <c r="EA34" s="495">
        <v>5.09</v>
      </c>
      <c r="EB34" s="495">
        <v>3.25</v>
      </c>
      <c r="EC34" s="495">
        <v>66</v>
      </c>
      <c r="ED34" s="495">
        <v>5.33</v>
      </c>
      <c r="EE34" s="495">
        <v>3.33</v>
      </c>
      <c r="EF34" s="494" t="s">
        <v>1645</v>
      </c>
      <c r="EG34" s="494" t="s">
        <v>1621</v>
      </c>
      <c r="EH34" s="490" t="s">
        <v>1620</v>
      </c>
      <c r="EI34" s="490" t="s">
        <v>1644</v>
      </c>
      <c r="ES34" s="496" t="s">
        <v>995</v>
      </c>
      <c r="ET34" s="495">
        <v>50</v>
      </c>
      <c r="EU34" s="495">
        <v>71.44</v>
      </c>
      <c r="EV34" s="495">
        <v>19.760000000000002</v>
      </c>
      <c r="EW34" s="495">
        <v>50</v>
      </c>
      <c r="EX34" s="495">
        <v>77.2</v>
      </c>
      <c r="EY34" s="495">
        <v>20.59</v>
      </c>
      <c r="EZ34" s="494" t="s">
        <v>1622</v>
      </c>
      <c r="FA34" s="494" t="s">
        <v>1621</v>
      </c>
      <c r="FB34" s="490" t="s">
        <v>1620</v>
      </c>
      <c r="FC34" s="490" t="s">
        <v>1619</v>
      </c>
      <c r="FM34" s="496" t="s">
        <v>1307</v>
      </c>
      <c r="FN34" s="495">
        <v>15</v>
      </c>
      <c r="FO34" s="495">
        <v>176</v>
      </c>
      <c r="FP34" s="495">
        <v>69</v>
      </c>
      <c r="FQ34" s="495">
        <v>24</v>
      </c>
      <c r="FR34" s="495">
        <v>119.4</v>
      </c>
      <c r="FS34" s="495">
        <v>61.9</v>
      </c>
      <c r="FT34" s="494" t="s">
        <v>1661</v>
      </c>
      <c r="FU34" s="494" t="s">
        <v>1621</v>
      </c>
      <c r="FV34" s="490" t="s">
        <v>1620</v>
      </c>
      <c r="FW34" s="490" t="s">
        <v>1644</v>
      </c>
      <c r="GG34" s="496" t="s">
        <v>1242</v>
      </c>
      <c r="GH34" s="495">
        <v>28</v>
      </c>
      <c r="GI34" s="495">
        <v>6.94</v>
      </c>
      <c r="GJ34" s="495">
        <v>2.34</v>
      </c>
      <c r="GK34" s="495">
        <v>28</v>
      </c>
      <c r="GL34" s="495">
        <v>6.54</v>
      </c>
      <c r="GM34" s="495">
        <v>2.13</v>
      </c>
      <c r="GN34" s="494" t="s">
        <v>1654</v>
      </c>
      <c r="GO34" s="494" t="s">
        <v>1621</v>
      </c>
      <c r="GP34" s="490" t="s">
        <v>1620</v>
      </c>
      <c r="GQ34" s="490" t="s">
        <v>1644</v>
      </c>
    </row>
    <row r="35" spans="1:199" ht="85">
      <c r="A35" s="494" t="s">
        <v>1257</v>
      </c>
      <c r="B35" s="494" t="s">
        <v>1657</v>
      </c>
      <c r="C35" s="494" t="s">
        <v>1621</v>
      </c>
      <c r="D35" s="490" t="s">
        <v>1620</v>
      </c>
      <c r="E35" s="490" t="s">
        <v>1644</v>
      </c>
      <c r="F35" s="494" t="s">
        <v>1643</v>
      </c>
      <c r="H35" s="496" t="s">
        <v>1306</v>
      </c>
      <c r="I35" s="495">
        <v>31</v>
      </c>
      <c r="J35" s="495">
        <v>127.09</v>
      </c>
      <c r="K35" s="495">
        <v>34.26</v>
      </c>
      <c r="L35" s="495">
        <v>31</v>
      </c>
      <c r="M35" s="495">
        <v>54.93</v>
      </c>
      <c r="N35" s="495">
        <v>19.690000000000001</v>
      </c>
      <c r="O35" s="494" t="s">
        <v>1659</v>
      </c>
      <c r="P35" s="494" t="s">
        <v>1621</v>
      </c>
      <c r="Q35" s="490" t="s">
        <v>1620</v>
      </c>
      <c r="R35" s="490" t="s">
        <v>1644</v>
      </c>
      <c r="AC35" s="496" t="s">
        <v>95</v>
      </c>
      <c r="AD35" s="495">
        <v>95</v>
      </c>
      <c r="AE35" s="495">
        <v>52.78</v>
      </c>
      <c r="AF35" s="495">
        <v>114.23</v>
      </c>
      <c r="AG35" s="495">
        <v>95</v>
      </c>
      <c r="AH35" s="495">
        <v>53.84</v>
      </c>
      <c r="AI35" s="495">
        <v>115.89</v>
      </c>
      <c r="AJ35" s="494" t="s">
        <v>898</v>
      </c>
      <c r="AK35" s="494" t="s">
        <v>1621</v>
      </c>
      <c r="AL35" s="490" t="s">
        <v>1620</v>
      </c>
      <c r="AM35" s="490" t="s">
        <v>1619</v>
      </c>
      <c r="AW35" s="496" t="s">
        <v>286</v>
      </c>
      <c r="AX35" s="495">
        <v>30</v>
      </c>
      <c r="AY35" s="495">
        <v>4.47</v>
      </c>
      <c r="AZ35" s="495">
        <v>2.89</v>
      </c>
      <c r="BA35" s="495">
        <v>30</v>
      </c>
      <c r="BB35" s="495">
        <v>6.08</v>
      </c>
      <c r="BC35" s="495">
        <v>2.82</v>
      </c>
      <c r="BD35" s="490" t="s">
        <v>1097</v>
      </c>
      <c r="BE35" s="490" t="s">
        <v>1621</v>
      </c>
      <c r="BF35" s="490" t="s">
        <v>1620</v>
      </c>
      <c r="BG35" s="490" t="s">
        <v>1642</v>
      </c>
      <c r="CK35" s="496" t="s">
        <v>286</v>
      </c>
      <c r="CL35" s="495">
        <v>30</v>
      </c>
      <c r="CM35" s="495">
        <v>4.92</v>
      </c>
      <c r="CN35" s="495">
        <v>3.45</v>
      </c>
      <c r="CO35" s="495">
        <v>30</v>
      </c>
      <c r="CP35" s="495">
        <v>6.82</v>
      </c>
      <c r="CQ35" s="495">
        <v>3.5</v>
      </c>
      <c r="CR35" s="490" t="s">
        <v>1097</v>
      </c>
      <c r="CS35" s="490" t="s">
        <v>1621</v>
      </c>
      <c r="CT35" s="490" t="s">
        <v>1620</v>
      </c>
      <c r="CU35" s="490" t="s">
        <v>1642</v>
      </c>
      <c r="DY35" s="496" t="s">
        <v>1013</v>
      </c>
      <c r="DZ35" s="495">
        <v>14</v>
      </c>
      <c r="EA35" s="495">
        <v>28.2</v>
      </c>
      <c r="EB35" s="495">
        <v>5</v>
      </c>
      <c r="EC35" s="495">
        <v>14</v>
      </c>
      <c r="ED35" s="495">
        <v>23.9</v>
      </c>
      <c r="EE35" s="495">
        <v>4.2</v>
      </c>
      <c r="EF35" s="494" t="s">
        <v>1656</v>
      </c>
      <c r="EG35" s="494" t="s">
        <v>1621</v>
      </c>
      <c r="EH35" s="490" t="s">
        <v>1620</v>
      </c>
      <c r="EI35" s="490" t="s">
        <v>1642</v>
      </c>
      <c r="ES35" s="496" t="s">
        <v>1307</v>
      </c>
      <c r="ET35" s="495">
        <v>15</v>
      </c>
      <c r="EU35" s="495">
        <v>50.6</v>
      </c>
      <c r="EV35" s="495">
        <v>30.4</v>
      </c>
      <c r="EW35" s="495">
        <v>23</v>
      </c>
      <c r="EX35" s="495">
        <v>38.9</v>
      </c>
      <c r="EY35" s="495">
        <v>18</v>
      </c>
      <c r="EZ35" s="494" t="s">
        <v>1661</v>
      </c>
      <c r="FA35" s="494" t="s">
        <v>1621</v>
      </c>
      <c r="FB35" s="490" t="s">
        <v>1620</v>
      </c>
      <c r="FC35" s="490" t="s">
        <v>1644</v>
      </c>
      <c r="FM35" s="496" t="s">
        <v>1082</v>
      </c>
      <c r="FN35" s="495">
        <v>14</v>
      </c>
      <c r="FO35" s="495">
        <v>1.83</v>
      </c>
      <c r="FP35" s="495">
        <v>1.51</v>
      </c>
      <c r="FQ35" s="495">
        <v>14</v>
      </c>
      <c r="FR35" s="495">
        <v>2.12</v>
      </c>
      <c r="FS35" s="495">
        <v>2.34</v>
      </c>
      <c r="FT35" s="494" t="s">
        <v>1105</v>
      </c>
      <c r="FU35" s="494" t="s">
        <v>1621</v>
      </c>
      <c r="FV35" s="490" t="s">
        <v>1636</v>
      </c>
      <c r="FW35" s="490" t="s">
        <v>1639</v>
      </c>
      <c r="GG35" s="496" t="s">
        <v>41</v>
      </c>
      <c r="GH35" s="495">
        <v>102</v>
      </c>
      <c r="GI35" s="495">
        <v>37.44</v>
      </c>
      <c r="GJ35" s="495">
        <v>45.96</v>
      </c>
      <c r="GK35" s="495">
        <v>102</v>
      </c>
      <c r="GL35" s="495">
        <v>47.08</v>
      </c>
      <c r="GM35" s="495">
        <v>90.21</v>
      </c>
      <c r="GN35" s="494" t="s">
        <v>1640</v>
      </c>
      <c r="GO35" s="494" t="s">
        <v>1621</v>
      </c>
      <c r="GP35" s="490" t="s">
        <v>1636</v>
      </c>
      <c r="GQ35" s="490" t="s">
        <v>1639</v>
      </c>
    </row>
    <row r="36" spans="1:199" ht="34">
      <c r="A36" s="494" t="s">
        <v>1013</v>
      </c>
      <c r="B36" s="494" t="s">
        <v>1656</v>
      </c>
      <c r="C36" s="494" t="s">
        <v>1621</v>
      </c>
      <c r="D36" s="490" t="s">
        <v>1620</v>
      </c>
      <c r="E36" s="490" t="s">
        <v>1642</v>
      </c>
      <c r="F36" s="494" t="s">
        <v>1655</v>
      </c>
      <c r="H36" s="496" t="s">
        <v>286</v>
      </c>
      <c r="I36" s="495">
        <v>30</v>
      </c>
      <c r="J36" s="495">
        <v>351.7</v>
      </c>
      <c r="K36" s="495">
        <v>207.42</v>
      </c>
      <c r="L36" s="495">
        <v>30</v>
      </c>
      <c r="M36" s="495">
        <v>464.03</v>
      </c>
      <c r="N36" s="495">
        <v>202.86</v>
      </c>
      <c r="O36" s="490" t="s">
        <v>1097</v>
      </c>
      <c r="P36" s="490" t="s">
        <v>1621</v>
      </c>
      <c r="Q36" s="490" t="s">
        <v>1620</v>
      </c>
      <c r="R36" s="490" t="s">
        <v>1642</v>
      </c>
      <c r="AC36" s="496" t="s">
        <v>248</v>
      </c>
      <c r="AD36" s="495">
        <v>50</v>
      </c>
      <c r="AE36" s="495">
        <v>7.35</v>
      </c>
      <c r="AF36" s="495">
        <v>5.46</v>
      </c>
      <c r="AG36" s="495">
        <v>50</v>
      </c>
      <c r="AH36" s="495">
        <v>11.52</v>
      </c>
      <c r="AI36" s="495">
        <v>11.15</v>
      </c>
      <c r="AJ36" s="494" t="s">
        <v>1633</v>
      </c>
      <c r="AK36" s="494" t="s">
        <v>1621</v>
      </c>
      <c r="AL36" s="490" t="s">
        <v>1620</v>
      </c>
      <c r="AM36" s="490" t="s">
        <v>1624</v>
      </c>
      <c r="AW36" s="496" t="s">
        <v>41</v>
      </c>
      <c r="AX36" s="495">
        <v>102</v>
      </c>
      <c r="AY36" s="495">
        <v>8.39</v>
      </c>
      <c r="AZ36" s="495">
        <v>2.2200000000000002</v>
      </c>
      <c r="BA36" s="495">
        <v>102</v>
      </c>
      <c r="BB36" s="495">
        <v>8.9</v>
      </c>
      <c r="BC36" s="495">
        <v>2.4500000000000002</v>
      </c>
      <c r="BD36" s="494" t="s">
        <v>1640</v>
      </c>
      <c r="BE36" s="494" t="s">
        <v>1621</v>
      </c>
      <c r="BF36" s="490" t="s">
        <v>1636</v>
      </c>
      <c r="BG36" s="490" t="s">
        <v>1639</v>
      </c>
      <c r="CK36" s="496" t="s">
        <v>41</v>
      </c>
      <c r="CL36" s="495">
        <v>102</v>
      </c>
      <c r="CM36" s="495">
        <v>580.62</v>
      </c>
      <c r="CN36" s="495">
        <v>658.12</v>
      </c>
      <c r="CO36" s="495">
        <v>102</v>
      </c>
      <c r="CP36" s="495">
        <v>486.53</v>
      </c>
      <c r="CQ36" s="495">
        <v>289.3</v>
      </c>
      <c r="CR36" s="494" t="s">
        <v>1640</v>
      </c>
      <c r="CS36" s="494" t="s">
        <v>1621</v>
      </c>
      <c r="CT36" s="490" t="s">
        <v>1636</v>
      </c>
      <c r="CU36" s="490" t="s">
        <v>1639</v>
      </c>
      <c r="DY36" s="496" t="s">
        <v>116</v>
      </c>
      <c r="DZ36" s="495">
        <v>59</v>
      </c>
      <c r="EA36" s="495">
        <v>5.28</v>
      </c>
      <c r="EB36" s="495">
        <v>0.34</v>
      </c>
      <c r="EC36" s="495">
        <v>59</v>
      </c>
      <c r="ED36" s="495">
        <v>4.63</v>
      </c>
      <c r="EE36" s="495">
        <v>0.39</v>
      </c>
      <c r="EF36" s="494" t="s">
        <v>1627</v>
      </c>
      <c r="EG36" s="494" t="s">
        <v>1621</v>
      </c>
      <c r="EH36" s="490" t="s">
        <v>1620</v>
      </c>
      <c r="EI36" s="490" t="s">
        <v>1624</v>
      </c>
      <c r="ES36" s="496" t="s">
        <v>1306</v>
      </c>
      <c r="ET36" s="495">
        <v>31</v>
      </c>
      <c r="EU36" s="495">
        <v>12.82</v>
      </c>
      <c r="EV36" s="495">
        <v>3.84</v>
      </c>
      <c r="EW36" s="495">
        <v>31</v>
      </c>
      <c r="EX36" s="495">
        <v>12.82</v>
      </c>
      <c r="EY36" s="495">
        <v>3.84</v>
      </c>
      <c r="EZ36" s="494" t="s">
        <v>1659</v>
      </c>
      <c r="FA36" s="494" t="s">
        <v>1621</v>
      </c>
      <c r="FB36" s="490" t="s">
        <v>1620</v>
      </c>
      <c r="FC36" s="490" t="s">
        <v>1644</v>
      </c>
      <c r="FM36" s="496" t="s">
        <v>1228</v>
      </c>
      <c r="FN36" s="495">
        <v>16</v>
      </c>
      <c r="FO36" s="495">
        <v>19.73</v>
      </c>
      <c r="FP36" s="495">
        <v>18.940000000000001</v>
      </c>
      <c r="FQ36" s="495">
        <v>16</v>
      </c>
      <c r="FR36" s="495">
        <v>12.38</v>
      </c>
      <c r="FS36" s="495">
        <v>19.8</v>
      </c>
      <c r="FT36" s="494" t="s">
        <v>1652</v>
      </c>
      <c r="FU36" s="494" t="s">
        <v>1621</v>
      </c>
      <c r="FV36" s="490" t="s">
        <v>1651</v>
      </c>
      <c r="FW36" s="490" t="s">
        <v>1642</v>
      </c>
      <c r="GG36" s="496" t="s">
        <v>95</v>
      </c>
      <c r="GH36" s="495">
        <v>95</v>
      </c>
      <c r="GI36" s="495">
        <v>110.74</v>
      </c>
      <c r="GJ36" s="495">
        <v>304.88</v>
      </c>
      <c r="GK36" s="495">
        <v>95</v>
      </c>
      <c r="GL36" s="495">
        <v>79.62</v>
      </c>
      <c r="GM36" s="495">
        <v>98.85</v>
      </c>
      <c r="GN36" s="494" t="s">
        <v>898</v>
      </c>
      <c r="GO36" s="494" t="s">
        <v>1621</v>
      </c>
      <c r="GP36" s="490" t="s">
        <v>1620</v>
      </c>
      <c r="GQ36" s="490" t="s">
        <v>1619</v>
      </c>
    </row>
    <row r="37" spans="1:199" ht="34">
      <c r="A37" s="494" t="s">
        <v>1242</v>
      </c>
      <c r="B37" s="494" t="s">
        <v>1654</v>
      </c>
      <c r="C37" s="494" t="s">
        <v>1621</v>
      </c>
      <c r="D37" s="490" t="s">
        <v>1620</v>
      </c>
      <c r="E37" s="490" t="s">
        <v>1644</v>
      </c>
      <c r="F37" s="494" t="s">
        <v>1643</v>
      </c>
      <c r="H37" s="496" t="s">
        <v>41</v>
      </c>
      <c r="I37" s="495">
        <v>102</v>
      </c>
      <c r="J37" s="495">
        <v>221.99</v>
      </c>
      <c r="K37" s="495">
        <v>73.209999999999994</v>
      </c>
      <c r="L37" s="495">
        <v>102</v>
      </c>
      <c r="M37" s="495">
        <v>252.17</v>
      </c>
      <c r="N37" s="495">
        <v>105.34</v>
      </c>
      <c r="O37" s="494" t="s">
        <v>1640</v>
      </c>
      <c r="P37" s="494" t="s">
        <v>1621</v>
      </c>
      <c r="Q37" s="490" t="s">
        <v>1636</v>
      </c>
      <c r="R37" s="490" t="s">
        <v>1639</v>
      </c>
      <c r="AW37" s="496" t="s">
        <v>95</v>
      </c>
      <c r="AX37" s="495">
        <v>95</v>
      </c>
      <c r="AY37" s="495">
        <v>24.05</v>
      </c>
      <c r="AZ37" s="495">
        <v>6.3</v>
      </c>
      <c r="BA37" s="495">
        <v>95</v>
      </c>
      <c r="BB37" s="495">
        <v>25.77</v>
      </c>
      <c r="BC37" s="495">
        <v>23.49</v>
      </c>
      <c r="BD37" s="494" t="s">
        <v>898</v>
      </c>
      <c r="BE37" s="494" t="s">
        <v>1621</v>
      </c>
      <c r="BF37" s="490" t="s">
        <v>1620</v>
      </c>
      <c r="BG37" s="490" t="s">
        <v>1619</v>
      </c>
      <c r="CK37" s="496" t="s">
        <v>95</v>
      </c>
      <c r="CL37" s="495">
        <v>95</v>
      </c>
      <c r="CM37" s="495">
        <v>113.39</v>
      </c>
      <c r="CN37" s="495">
        <v>248.35</v>
      </c>
      <c r="CO37" s="495">
        <v>95</v>
      </c>
      <c r="CP37" s="495">
        <v>100.57</v>
      </c>
      <c r="CQ37" s="495">
        <v>175.4</v>
      </c>
      <c r="CR37" s="494" t="s">
        <v>898</v>
      </c>
      <c r="CS37" s="494" t="s">
        <v>1621</v>
      </c>
      <c r="CT37" s="490" t="s">
        <v>1620</v>
      </c>
      <c r="CU37" s="490" t="s">
        <v>1619</v>
      </c>
      <c r="DY37" s="496" t="s">
        <v>995</v>
      </c>
      <c r="DZ37" s="495">
        <v>50</v>
      </c>
      <c r="EA37" s="495">
        <v>45.56</v>
      </c>
      <c r="EB37" s="495">
        <v>12.15</v>
      </c>
      <c r="EC37" s="495">
        <v>50</v>
      </c>
      <c r="ED37" s="495">
        <v>51.42</v>
      </c>
      <c r="EE37" s="495">
        <v>12.96</v>
      </c>
      <c r="EF37" s="494" t="s">
        <v>1622</v>
      </c>
      <c r="EG37" s="494" t="s">
        <v>1621</v>
      </c>
      <c r="EH37" s="490" t="s">
        <v>1620</v>
      </c>
      <c r="EI37" s="490" t="s">
        <v>1619</v>
      </c>
      <c r="ES37" s="496" t="s">
        <v>1082</v>
      </c>
      <c r="ET37" s="495">
        <v>14</v>
      </c>
      <c r="EU37" s="495">
        <v>4.7</v>
      </c>
      <c r="EV37" s="495">
        <v>3.37</v>
      </c>
      <c r="EW37" s="495">
        <v>14</v>
      </c>
      <c r="EX37" s="495">
        <v>4.21</v>
      </c>
      <c r="EY37" s="495">
        <v>2.97</v>
      </c>
      <c r="EZ37" s="494" t="s">
        <v>1105</v>
      </c>
      <c r="FA37" s="494" t="s">
        <v>1621</v>
      </c>
      <c r="FB37" s="490" t="s">
        <v>1636</v>
      </c>
      <c r="FC37" s="490" t="s">
        <v>1639</v>
      </c>
      <c r="FM37" s="496" t="s">
        <v>41</v>
      </c>
      <c r="FN37" s="495">
        <v>102</v>
      </c>
      <c r="FO37" s="495">
        <v>16.399999999999999</v>
      </c>
      <c r="FP37" s="495">
        <v>6.12</v>
      </c>
      <c r="FQ37" s="495">
        <v>102</v>
      </c>
      <c r="FR37" s="495">
        <v>17.16</v>
      </c>
      <c r="FS37" s="495">
        <v>8.91</v>
      </c>
      <c r="FT37" s="494" t="s">
        <v>1640</v>
      </c>
      <c r="FU37" s="494" t="s">
        <v>1621</v>
      </c>
      <c r="FV37" s="490" t="s">
        <v>1636</v>
      </c>
      <c r="FW37" s="490" t="s">
        <v>1639</v>
      </c>
      <c r="GG37" s="496" t="s">
        <v>248</v>
      </c>
      <c r="GH37" s="495">
        <v>50</v>
      </c>
      <c r="GI37" s="495">
        <v>13.45</v>
      </c>
      <c r="GJ37" s="495">
        <v>13.77</v>
      </c>
      <c r="GK37" s="495">
        <v>50</v>
      </c>
      <c r="GL37" s="495">
        <v>14.53</v>
      </c>
      <c r="GM37" s="495">
        <v>18.93</v>
      </c>
      <c r="GN37" s="494" t="s">
        <v>1633</v>
      </c>
      <c r="GO37" s="494" t="s">
        <v>1621</v>
      </c>
      <c r="GP37" s="490" t="s">
        <v>1620</v>
      </c>
      <c r="GQ37" s="490" t="s">
        <v>1624</v>
      </c>
    </row>
    <row r="38" spans="1:199" ht="34">
      <c r="A38" s="494" t="s">
        <v>1082</v>
      </c>
      <c r="B38" s="494" t="s">
        <v>1105</v>
      </c>
      <c r="C38" s="494" t="s">
        <v>1621</v>
      </c>
      <c r="D38" s="490" t="s">
        <v>1636</v>
      </c>
      <c r="E38" s="490" t="s">
        <v>1639</v>
      </c>
      <c r="F38" s="494" t="s">
        <v>1653</v>
      </c>
      <c r="H38" s="496" t="s">
        <v>95</v>
      </c>
      <c r="I38" s="495">
        <v>95</v>
      </c>
      <c r="J38" s="495">
        <v>30.75</v>
      </c>
      <c r="K38" s="495">
        <v>30.07</v>
      </c>
      <c r="L38" s="495">
        <v>95</v>
      </c>
      <c r="M38" s="495">
        <v>29.17</v>
      </c>
      <c r="N38" s="495">
        <v>16.22</v>
      </c>
      <c r="O38" s="494" t="s">
        <v>898</v>
      </c>
      <c r="P38" s="494" t="s">
        <v>1621</v>
      </c>
      <c r="Q38" s="490" t="s">
        <v>1620</v>
      </c>
      <c r="R38" s="490" t="s">
        <v>1619</v>
      </c>
      <c r="AW38" s="496" t="s">
        <v>248</v>
      </c>
      <c r="AX38" s="495">
        <v>50</v>
      </c>
      <c r="AY38" s="495">
        <v>27.22</v>
      </c>
      <c r="AZ38" s="495">
        <v>31.55</v>
      </c>
      <c r="BA38" s="495">
        <v>50</v>
      </c>
      <c r="BB38" s="495">
        <v>43.95</v>
      </c>
      <c r="BC38" s="495">
        <v>47.74</v>
      </c>
      <c r="BD38" s="494" t="s">
        <v>1633</v>
      </c>
      <c r="BE38" s="494" t="s">
        <v>1621</v>
      </c>
      <c r="BF38" s="490" t="s">
        <v>1620</v>
      </c>
      <c r="BG38" s="490" t="s">
        <v>1624</v>
      </c>
      <c r="CK38" s="496" t="s">
        <v>333</v>
      </c>
      <c r="CL38" s="495">
        <v>38</v>
      </c>
      <c r="CM38" s="495">
        <v>5.01</v>
      </c>
      <c r="CN38" s="495">
        <v>0.93</v>
      </c>
      <c r="CO38" s="495">
        <v>38</v>
      </c>
      <c r="CP38" s="495">
        <v>8.82</v>
      </c>
      <c r="CQ38" s="495">
        <v>1.1599999999999999</v>
      </c>
      <c r="CR38" s="494" t="s">
        <v>1205</v>
      </c>
      <c r="CS38" s="494" t="s">
        <v>1621</v>
      </c>
      <c r="CT38" s="490" t="s">
        <v>1636</v>
      </c>
      <c r="CU38" s="490" t="s">
        <v>1635</v>
      </c>
      <c r="DY38" s="496" t="s">
        <v>1333</v>
      </c>
      <c r="DZ38" s="495">
        <v>26</v>
      </c>
      <c r="EA38" s="495">
        <v>5.19</v>
      </c>
      <c r="EB38" s="495">
        <v>1.18</v>
      </c>
      <c r="EC38" s="495">
        <v>26</v>
      </c>
      <c r="ED38" s="495">
        <v>9.08</v>
      </c>
      <c r="EE38" s="495">
        <v>3.23</v>
      </c>
      <c r="EF38" s="494" t="s">
        <v>1666</v>
      </c>
      <c r="EG38" s="497" t="s">
        <v>1621</v>
      </c>
      <c r="EH38" s="490" t="s">
        <v>1620</v>
      </c>
      <c r="EI38" s="490" t="s">
        <v>1642</v>
      </c>
      <c r="ES38" s="496" t="s">
        <v>41</v>
      </c>
      <c r="ET38" s="495">
        <v>102</v>
      </c>
      <c r="EU38" s="495">
        <v>11.33</v>
      </c>
      <c r="EV38" s="495">
        <v>5.49</v>
      </c>
      <c r="EW38" s="495">
        <v>102</v>
      </c>
      <c r="EX38" s="495">
        <v>11.09</v>
      </c>
      <c r="EY38" s="495">
        <v>7.07</v>
      </c>
      <c r="EZ38" s="494" t="s">
        <v>1640</v>
      </c>
      <c r="FA38" s="494" t="s">
        <v>1621</v>
      </c>
      <c r="FB38" s="490" t="s">
        <v>1636</v>
      </c>
      <c r="FC38" s="490" t="s">
        <v>1639</v>
      </c>
      <c r="FM38" s="496" t="s">
        <v>95</v>
      </c>
      <c r="FN38" s="495">
        <v>95</v>
      </c>
      <c r="FO38" s="495">
        <v>62.92</v>
      </c>
      <c r="FP38" s="495">
        <v>16.77</v>
      </c>
      <c r="FQ38" s="495">
        <v>95</v>
      </c>
      <c r="FR38" s="495">
        <v>54.86</v>
      </c>
      <c r="FS38" s="495">
        <v>109.72</v>
      </c>
      <c r="FT38" s="494" t="s">
        <v>898</v>
      </c>
      <c r="FU38" s="494" t="s">
        <v>1621</v>
      </c>
      <c r="FV38" s="490" t="s">
        <v>1620</v>
      </c>
      <c r="FW38" s="490" t="s">
        <v>1619</v>
      </c>
    </row>
    <row r="39" spans="1:199" ht="34">
      <c r="A39" s="494" t="s">
        <v>1228</v>
      </c>
      <c r="B39" s="494" t="s">
        <v>1652</v>
      </c>
      <c r="C39" s="494" t="s">
        <v>1621</v>
      </c>
      <c r="D39" s="490" t="s">
        <v>1651</v>
      </c>
      <c r="E39" s="490" t="s">
        <v>1642</v>
      </c>
      <c r="F39" s="494" t="s">
        <v>4</v>
      </c>
      <c r="CK39" s="496" t="s">
        <v>248</v>
      </c>
      <c r="CL39" s="495">
        <v>50</v>
      </c>
      <c r="CM39" s="495">
        <v>7.61</v>
      </c>
      <c r="CN39" s="495">
        <v>8.6300000000000008</v>
      </c>
      <c r="CO39" s="495">
        <v>50</v>
      </c>
      <c r="CP39" s="495">
        <v>9.06</v>
      </c>
      <c r="CQ39" s="495">
        <v>9.0500000000000007</v>
      </c>
      <c r="CR39" s="494" t="s">
        <v>1633</v>
      </c>
      <c r="CS39" s="494" t="s">
        <v>1621</v>
      </c>
      <c r="CT39" s="490" t="s">
        <v>1620</v>
      </c>
      <c r="CU39" s="490" t="s">
        <v>1624</v>
      </c>
      <c r="DY39" s="496" t="s">
        <v>1257</v>
      </c>
      <c r="DZ39" s="495">
        <v>28</v>
      </c>
      <c r="EA39" s="495">
        <v>6.27</v>
      </c>
      <c r="EB39" s="495">
        <v>1.94</v>
      </c>
      <c r="EC39" s="495">
        <v>28</v>
      </c>
      <c r="ED39" s="495">
        <v>5.7</v>
      </c>
      <c r="EE39" s="495">
        <v>1.55</v>
      </c>
      <c r="EF39" s="494" t="s">
        <v>1657</v>
      </c>
      <c r="EG39" s="494" t="s">
        <v>1621</v>
      </c>
      <c r="EH39" s="490" t="s">
        <v>1620</v>
      </c>
      <c r="EI39" s="490" t="s">
        <v>1644</v>
      </c>
      <c r="ES39" s="496" t="s">
        <v>248</v>
      </c>
      <c r="ET39" s="495">
        <v>50</v>
      </c>
      <c r="EU39" s="495">
        <v>0.89</v>
      </c>
      <c r="EV39" s="495">
        <v>0.79</v>
      </c>
      <c r="EW39" s="495">
        <v>50</v>
      </c>
      <c r="EX39" s="495">
        <v>1.63</v>
      </c>
      <c r="EY39" s="495">
        <v>2.3199999999999998</v>
      </c>
      <c r="EZ39" s="494" t="s">
        <v>1633</v>
      </c>
      <c r="FA39" s="494" t="s">
        <v>1621</v>
      </c>
      <c r="FB39" s="490" t="s">
        <v>1620</v>
      </c>
      <c r="FC39" s="490" t="s">
        <v>1624</v>
      </c>
      <c r="FM39" s="496" t="s">
        <v>333</v>
      </c>
      <c r="FN39" s="495">
        <v>38</v>
      </c>
      <c r="FO39" s="495">
        <v>8.11</v>
      </c>
      <c r="FP39" s="495">
        <v>1.4</v>
      </c>
      <c r="FQ39" s="495">
        <v>38</v>
      </c>
      <c r="FR39" s="495">
        <v>16.23</v>
      </c>
      <c r="FS39" s="495">
        <v>2.79</v>
      </c>
      <c r="FT39" s="494" t="s">
        <v>1205</v>
      </c>
      <c r="FU39" s="494" t="s">
        <v>1621</v>
      </c>
      <c r="FV39" s="490" t="s">
        <v>1636</v>
      </c>
      <c r="FW39" s="490" t="s">
        <v>1635</v>
      </c>
    </row>
    <row r="40" spans="1:199" ht="102">
      <c r="A40" s="494" t="s">
        <v>299</v>
      </c>
      <c r="B40" s="494" t="s">
        <v>1650</v>
      </c>
      <c r="C40" s="494" t="s">
        <v>1621</v>
      </c>
      <c r="D40" s="490" t="s">
        <v>1620</v>
      </c>
      <c r="E40" s="490" t="s">
        <v>1642</v>
      </c>
      <c r="F40" s="494" t="s">
        <v>1649</v>
      </c>
      <c r="DY40" s="496" t="s">
        <v>1242</v>
      </c>
      <c r="DZ40" s="495">
        <v>28</v>
      </c>
      <c r="EA40" s="495">
        <v>7.04</v>
      </c>
      <c r="EB40" s="495">
        <v>2.85</v>
      </c>
      <c r="EC40" s="495">
        <v>28</v>
      </c>
      <c r="ED40" s="495">
        <v>6.55</v>
      </c>
      <c r="EE40" s="495">
        <v>2.89</v>
      </c>
      <c r="EF40" s="494" t="s">
        <v>1654</v>
      </c>
      <c r="EG40" s="494" t="s">
        <v>1621</v>
      </c>
      <c r="EH40" s="490" t="s">
        <v>1620</v>
      </c>
      <c r="EI40" s="490" t="s">
        <v>1644</v>
      </c>
      <c r="FM40" s="496" t="s">
        <v>248</v>
      </c>
      <c r="FN40" s="495">
        <v>50</v>
      </c>
      <c r="FO40" s="495">
        <v>10.24</v>
      </c>
      <c r="FP40" s="495">
        <v>8.9</v>
      </c>
      <c r="FQ40" s="495">
        <v>50</v>
      </c>
      <c r="FR40" s="495">
        <v>7.15</v>
      </c>
      <c r="FS40" s="495">
        <v>7.49</v>
      </c>
      <c r="FT40" s="494" t="s">
        <v>1633</v>
      </c>
      <c r="FU40" s="494" t="s">
        <v>1621</v>
      </c>
      <c r="FV40" s="490" t="s">
        <v>1620</v>
      </c>
      <c r="FW40" s="490" t="s">
        <v>1624</v>
      </c>
    </row>
    <row r="41" spans="1:199" ht="34">
      <c r="A41" s="494" t="s">
        <v>987</v>
      </c>
      <c r="B41" s="494" t="s">
        <v>1648</v>
      </c>
      <c r="C41" s="494" t="s">
        <v>1621</v>
      </c>
      <c r="D41" s="490" t="s">
        <v>1620</v>
      </c>
      <c r="E41" s="490" t="s">
        <v>1647</v>
      </c>
      <c r="F41" s="494" t="s">
        <v>1646</v>
      </c>
      <c r="DY41" s="496" t="s">
        <v>286</v>
      </c>
      <c r="DZ41" s="495">
        <v>10</v>
      </c>
      <c r="EA41" s="495">
        <v>43.78</v>
      </c>
      <c r="EB41" s="495">
        <v>27.12</v>
      </c>
      <c r="EC41" s="495">
        <v>30</v>
      </c>
      <c r="ED41" s="495">
        <v>57.35</v>
      </c>
      <c r="EE41" s="495">
        <v>30.03</v>
      </c>
      <c r="EF41" s="490" t="s">
        <v>1097</v>
      </c>
      <c r="EG41" s="490" t="s">
        <v>1621</v>
      </c>
      <c r="EH41" s="490" t="s">
        <v>1620</v>
      </c>
      <c r="EI41" s="490" t="s">
        <v>1642</v>
      </c>
      <c r="FM41" s="496" t="s">
        <v>957</v>
      </c>
      <c r="FN41" s="495">
        <v>54</v>
      </c>
      <c r="FO41" s="495">
        <v>0.16</v>
      </c>
      <c r="FP41" s="495">
        <v>0.69</v>
      </c>
      <c r="FQ41" s="495">
        <v>54</v>
      </c>
      <c r="FR41" s="495">
        <v>0.28000000000000003</v>
      </c>
      <c r="FS41" s="495">
        <v>0.54</v>
      </c>
      <c r="FT41" s="494" t="s">
        <v>1629</v>
      </c>
      <c r="FU41" s="494" t="s">
        <v>1621</v>
      </c>
      <c r="FV41" s="490" t="s">
        <v>1620</v>
      </c>
      <c r="FW41" s="490" t="s">
        <v>1624</v>
      </c>
    </row>
    <row r="42" spans="1:199" ht="34">
      <c r="A42" s="490" t="s">
        <v>270</v>
      </c>
      <c r="B42" s="494" t="s">
        <v>1645</v>
      </c>
      <c r="C42" s="494" t="s">
        <v>1621</v>
      </c>
      <c r="D42" s="490" t="s">
        <v>1620</v>
      </c>
      <c r="E42" s="490" t="s">
        <v>1644</v>
      </c>
      <c r="F42" s="494" t="s">
        <v>1643</v>
      </c>
      <c r="DY42" s="496" t="s">
        <v>41</v>
      </c>
      <c r="DZ42" s="495">
        <v>102</v>
      </c>
      <c r="EA42" s="495">
        <v>114.05</v>
      </c>
      <c r="EB42" s="495">
        <v>27.45</v>
      </c>
      <c r="EC42" s="495">
        <v>102</v>
      </c>
      <c r="ED42" s="495">
        <v>109.62</v>
      </c>
      <c r="EE42" s="495">
        <v>34.380000000000003</v>
      </c>
      <c r="EF42" s="494" t="s">
        <v>1640</v>
      </c>
      <c r="EG42" s="494" t="s">
        <v>1621</v>
      </c>
      <c r="EH42" s="490" t="s">
        <v>1636</v>
      </c>
      <c r="EI42" s="490" t="s">
        <v>1639</v>
      </c>
      <c r="FM42" s="496" t="s">
        <v>940</v>
      </c>
      <c r="FN42" s="495">
        <v>23</v>
      </c>
      <c r="FO42" s="495">
        <v>7.77</v>
      </c>
      <c r="FP42" s="495">
        <v>9.2200000000000006</v>
      </c>
      <c r="FQ42" s="495">
        <v>23</v>
      </c>
      <c r="FR42" s="495">
        <v>12.13</v>
      </c>
      <c r="FS42" s="495">
        <v>16.579999999999998</v>
      </c>
      <c r="FT42" s="494" t="s">
        <v>1625</v>
      </c>
      <c r="FU42" s="494" t="s">
        <v>1621</v>
      </c>
      <c r="FV42" s="490" t="s">
        <v>1620</v>
      </c>
      <c r="FW42" s="490" t="s">
        <v>1624</v>
      </c>
    </row>
    <row r="43" spans="1:199" ht="136">
      <c r="A43" s="490" t="s">
        <v>286</v>
      </c>
      <c r="B43" s="490" t="s">
        <v>1097</v>
      </c>
      <c r="C43" s="490" t="s">
        <v>1621</v>
      </c>
      <c r="D43" s="490" t="s">
        <v>1620</v>
      </c>
      <c r="E43" s="490" t="s">
        <v>1642</v>
      </c>
      <c r="F43" s="494" t="s">
        <v>1641</v>
      </c>
      <c r="DY43" s="496" t="s">
        <v>95</v>
      </c>
      <c r="DZ43" s="495">
        <v>95</v>
      </c>
      <c r="EA43" s="495">
        <v>29.88</v>
      </c>
      <c r="EB43" s="495">
        <v>20.68</v>
      </c>
      <c r="EC43" s="495">
        <v>95</v>
      </c>
      <c r="ED43" s="495">
        <v>28.56</v>
      </c>
      <c r="EE43" s="495">
        <v>15.18</v>
      </c>
      <c r="EF43" s="494" t="s">
        <v>898</v>
      </c>
      <c r="EG43" s="494" t="s">
        <v>1621</v>
      </c>
      <c r="EH43" s="490" t="s">
        <v>1620</v>
      </c>
      <c r="EI43" s="490" t="s">
        <v>1619</v>
      </c>
    </row>
    <row r="44" spans="1:199" ht="153">
      <c r="A44" s="494" t="s">
        <v>41</v>
      </c>
      <c r="B44" s="494" t="s">
        <v>1640</v>
      </c>
      <c r="C44" s="494" t="s">
        <v>1621</v>
      </c>
      <c r="D44" s="490" t="s">
        <v>1636</v>
      </c>
      <c r="E44" s="490" t="s">
        <v>1639</v>
      </c>
      <c r="F44" s="494" t="s">
        <v>1638</v>
      </c>
      <c r="DY44" s="496" t="s">
        <v>333</v>
      </c>
      <c r="DZ44" s="495">
        <v>38</v>
      </c>
      <c r="EA44" s="495">
        <v>6.61</v>
      </c>
      <c r="EB44" s="495">
        <v>0.8</v>
      </c>
      <c r="EC44" s="495">
        <v>38</v>
      </c>
      <c r="ED44" s="495">
        <v>13.22</v>
      </c>
      <c r="EE44" s="495">
        <v>1.6</v>
      </c>
      <c r="EF44" s="494" t="s">
        <v>1205</v>
      </c>
      <c r="EG44" s="494" t="s">
        <v>1621</v>
      </c>
      <c r="EH44" s="490" t="s">
        <v>1636</v>
      </c>
      <c r="EI44" s="490" t="s">
        <v>1635</v>
      </c>
    </row>
    <row r="45" spans="1:199" ht="119">
      <c r="A45" s="494" t="s">
        <v>95</v>
      </c>
      <c r="B45" s="494" t="s">
        <v>898</v>
      </c>
      <c r="C45" s="494" t="s">
        <v>1621</v>
      </c>
      <c r="D45" s="490" t="s">
        <v>1620</v>
      </c>
      <c r="E45" s="490" t="s">
        <v>1619</v>
      </c>
      <c r="F45" s="494" t="s">
        <v>1637</v>
      </c>
      <c r="DY45" s="496" t="s">
        <v>248</v>
      </c>
      <c r="DZ45" s="495">
        <v>50</v>
      </c>
      <c r="EA45" s="495">
        <v>20.27</v>
      </c>
      <c r="EB45" s="495">
        <v>17.2</v>
      </c>
      <c r="EC45" s="495">
        <v>50</v>
      </c>
      <c r="ED45" s="495">
        <v>15.95</v>
      </c>
      <c r="EE45" s="495">
        <v>15.43</v>
      </c>
      <c r="EF45" s="494" t="s">
        <v>1633</v>
      </c>
      <c r="EG45" s="494" t="s">
        <v>1621</v>
      </c>
      <c r="EH45" s="490" t="s">
        <v>1620</v>
      </c>
      <c r="EI45" s="490" t="s">
        <v>1624</v>
      </c>
    </row>
    <row r="46" spans="1:199" ht="51">
      <c r="A46" s="494" t="s">
        <v>333</v>
      </c>
      <c r="B46" s="494" t="s">
        <v>1205</v>
      </c>
      <c r="C46" s="494" t="s">
        <v>1621</v>
      </c>
      <c r="D46" s="490" t="s">
        <v>1636</v>
      </c>
      <c r="E46" s="490" t="s">
        <v>1635</v>
      </c>
      <c r="F46" s="494" t="s">
        <v>1634</v>
      </c>
      <c r="DY46" s="496" t="s">
        <v>1412</v>
      </c>
      <c r="DZ46" s="495">
        <v>57</v>
      </c>
      <c r="EA46" s="495">
        <v>4.3</v>
      </c>
      <c r="EB46" s="495">
        <v>2.7</v>
      </c>
      <c r="EC46" s="495">
        <v>57</v>
      </c>
      <c r="ED46" s="495">
        <v>7.7</v>
      </c>
      <c r="EE46" s="495">
        <v>2.6</v>
      </c>
      <c r="EF46" s="494" t="s">
        <v>1631</v>
      </c>
      <c r="EG46" s="494" t="s">
        <v>1621</v>
      </c>
      <c r="EH46" s="490" t="s">
        <v>1620</v>
      </c>
      <c r="EI46" s="490" t="s">
        <v>1624</v>
      </c>
    </row>
    <row r="47" spans="1:199" ht="136">
      <c r="A47" s="494" t="s">
        <v>248</v>
      </c>
      <c r="B47" s="494" t="s">
        <v>1633</v>
      </c>
      <c r="C47" s="494" t="s">
        <v>1621</v>
      </c>
      <c r="D47" s="490" t="s">
        <v>1620</v>
      </c>
      <c r="E47" s="490" t="s">
        <v>1624</v>
      </c>
      <c r="F47" s="494" t="s">
        <v>1632</v>
      </c>
    </row>
    <row r="48" spans="1:199" ht="136">
      <c r="A48" s="494" t="s">
        <v>1412</v>
      </c>
      <c r="B48" s="494" t="s">
        <v>1631</v>
      </c>
      <c r="C48" s="494" t="s">
        <v>1621</v>
      </c>
      <c r="D48" s="490" t="s">
        <v>1620</v>
      </c>
      <c r="E48" s="490" t="s">
        <v>1624</v>
      </c>
      <c r="F48" s="494" t="s">
        <v>1630</v>
      </c>
    </row>
    <row r="49" spans="1:6" ht="170">
      <c r="A49" s="494" t="s">
        <v>957</v>
      </c>
      <c r="B49" s="494" t="s">
        <v>1629</v>
      </c>
      <c r="C49" s="494" t="s">
        <v>1621</v>
      </c>
      <c r="D49" s="490" t="s">
        <v>1620</v>
      </c>
      <c r="E49" s="490" t="s">
        <v>1624</v>
      </c>
      <c r="F49" s="494" t="s">
        <v>1628</v>
      </c>
    </row>
    <row r="50" spans="1:6" ht="153">
      <c r="A50" s="494" t="s">
        <v>116</v>
      </c>
      <c r="B50" s="494" t="s">
        <v>1627</v>
      </c>
      <c r="C50" s="494" t="s">
        <v>1621</v>
      </c>
      <c r="D50" s="490" t="s">
        <v>1620</v>
      </c>
      <c r="E50" s="490" t="s">
        <v>1624</v>
      </c>
      <c r="F50" s="494" t="s">
        <v>1626</v>
      </c>
    </row>
    <row r="51" spans="1:6" ht="102">
      <c r="A51" s="494" t="s">
        <v>940</v>
      </c>
      <c r="B51" s="494" t="s">
        <v>1625</v>
      </c>
      <c r="C51" s="494" t="s">
        <v>1621</v>
      </c>
      <c r="D51" s="490" t="s">
        <v>1620</v>
      </c>
      <c r="E51" s="490" t="s">
        <v>1624</v>
      </c>
      <c r="F51" s="494" t="s">
        <v>1623</v>
      </c>
    </row>
    <row r="52" spans="1:6" ht="68">
      <c r="A52" s="494" t="s">
        <v>995</v>
      </c>
      <c r="B52" s="494" t="s">
        <v>1622</v>
      </c>
      <c r="C52" s="494" t="s">
        <v>1621</v>
      </c>
      <c r="D52" s="490" t="s">
        <v>1620</v>
      </c>
      <c r="E52" s="490" t="s">
        <v>1619</v>
      </c>
      <c r="F52" s="494" t="s">
        <v>1618</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3DC35-81B5-A343-9C36-4ACD0DB4EF6E}">
  <dimension ref="A1:U89"/>
  <sheetViews>
    <sheetView zoomScale="75" zoomScaleNormal="50" workbookViewId="0">
      <pane ySplit="1" topLeftCell="A2" activePane="bottomLeft" state="frozen"/>
      <selection pane="bottomLeft" activeCell="E80" sqref="E80:E83"/>
    </sheetView>
  </sheetViews>
  <sheetFormatPr baseColWidth="10" defaultRowHeight="16"/>
  <cols>
    <col min="1" max="1" width="17.1640625" bestFit="1" customWidth="1"/>
    <col min="2" max="2" width="12.83203125" customWidth="1"/>
    <col min="3" max="3" width="22.33203125" customWidth="1"/>
    <col min="4" max="4" width="13.83203125" customWidth="1"/>
    <col min="5" max="5" width="19.33203125" customWidth="1"/>
    <col min="6" max="6" width="20.1640625" hidden="1" customWidth="1"/>
    <col min="7" max="7" width="1.83203125" hidden="1" customWidth="1"/>
    <col min="8" max="8" width="15.83203125" hidden="1" customWidth="1"/>
    <col min="9" max="9" width="10.5" hidden="1" customWidth="1"/>
    <col min="10" max="10" width="11" customWidth="1"/>
    <col min="11" max="12" width="20.5" customWidth="1"/>
    <col min="13" max="13" width="13.6640625" hidden="1" customWidth="1"/>
    <col min="14" max="14" width="3" hidden="1" customWidth="1"/>
    <col min="15" max="15" width="14.33203125" customWidth="1"/>
    <col min="16" max="16" width="18.83203125" customWidth="1"/>
    <col min="17" max="17" width="14.5" customWidth="1"/>
    <col min="18" max="18" width="32.33203125" hidden="1" customWidth="1"/>
    <col min="19" max="20" width="37.33203125" customWidth="1"/>
    <col min="21" max="21" width="15.33203125" customWidth="1"/>
  </cols>
  <sheetData>
    <row r="1" spans="1:21" ht="51" customHeight="1" thickBot="1">
      <c r="A1" s="309" t="s">
        <v>25</v>
      </c>
      <c r="B1" s="310" t="s">
        <v>1023</v>
      </c>
      <c r="C1" s="310" t="s">
        <v>1099</v>
      </c>
      <c r="D1" s="310" t="s">
        <v>1115</v>
      </c>
      <c r="E1" s="310" t="s">
        <v>1120</v>
      </c>
      <c r="F1" s="310" t="s">
        <v>884</v>
      </c>
      <c r="G1" s="310" t="s">
        <v>883</v>
      </c>
      <c r="H1" s="310" t="s">
        <v>478</v>
      </c>
      <c r="I1" s="310" t="s">
        <v>1100</v>
      </c>
      <c r="J1" s="310" t="s">
        <v>1101</v>
      </c>
      <c r="K1" s="310" t="s">
        <v>666</v>
      </c>
      <c r="L1" s="310" t="s">
        <v>665</v>
      </c>
      <c r="M1" s="310" t="s">
        <v>667</v>
      </c>
      <c r="N1" s="310" t="s">
        <v>667</v>
      </c>
      <c r="O1" s="310" t="s">
        <v>882</v>
      </c>
      <c r="P1" s="310" t="s">
        <v>1102</v>
      </c>
      <c r="Q1" s="310" t="s">
        <v>1103</v>
      </c>
      <c r="R1" s="311" t="s">
        <v>650</v>
      </c>
      <c r="S1" s="311" t="s">
        <v>889</v>
      </c>
      <c r="T1" s="312" t="s">
        <v>1014</v>
      </c>
      <c r="U1" s="119"/>
    </row>
    <row r="2" spans="1:21" ht="32" customHeight="1">
      <c r="A2" s="390" t="s">
        <v>262</v>
      </c>
      <c r="B2" s="384" t="s">
        <v>926</v>
      </c>
      <c r="C2" s="384" t="s">
        <v>927</v>
      </c>
      <c r="D2" s="418" t="s">
        <v>1121</v>
      </c>
      <c r="E2" s="418" t="s">
        <v>1122</v>
      </c>
      <c r="F2" s="384" t="s">
        <v>631</v>
      </c>
      <c r="G2" s="437"/>
      <c r="H2" s="384" t="s">
        <v>1027</v>
      </c>
      <c r="I2" s="384" t="s">
        <v>919</v>
      </c>
      <c r="J2" s="114" t="s">
        <v>263</v>
      </c>
      <c r="K2" s="205" t="s">
        <v>668</v>
      </c>
      <c r="L2" s="116" t="s">
        <v>672</v>
      </c>
      <c r="M2" s="206" t="s">
        <v>675</v>
      </c>
      <c r="N2" s="114" t="s">
        <v>373</v>
      </c>
      <c r="O2" s="112"/>
      <c r="P2" s="431" t="s">
        <v>1026</v>
      </c>
      <c r="Q2" s="431" t="s">
        <v>1117</v>
      </c>
      <c r="R2" s="207" t="s">
        <v>921</v>
      </c>
      <c r="S2" s="388" t="s">
        <v>918</v>
      </c>
      <c r="T2" s="445" t="s">
        <v>1015</v>
      </c>
    </row>
    <row r="3" spans="1:21" ht="51">
      <c r="A3" s="390"/>
      <c r="B3" s="384"/>
      <c r="C3" s="384"/>
      <c r="D3" s="418"/>
      <c r="E3" s="418"/>
      <c r="F3" s="384"/>
      <c r="G3" s="437"/>
      <c r="H3" s="384"/>
      <c r="I3" s="384"/>
      <c r="J3" s="114" t="s">
        <v>4</v>
      </c>
      <c r="K3" s="205" t="s">
        <v>669</v>
      </c>
      <c r="L3" s="116" t="s">
        <v>673</v>
      </c>
      <c r="M3" s="206" t="s">
        <v>675</v>
      </c>
      <c r="N3" s="114" t="s">
        <v>374</v>
      </c>
      <c r="O3" s="112"/>
      <c r="P3" s="431"/>
      <c r="Q3" s="431"/>
      <c r="R3" s="207" t="s">
        <v>921</v>
      </c>
      <c r="S3" s="388"/>
      <c r="T3" s="392"/>
    </row>
    <row r="4" spans="1:21" ht="59" customHeight="1" thickBot="1">
      <c r="A4" s="338"/>
      <c r="B4" s="346"/>
      <c r="C4" s="346"/>
      <c r="D4" s="419"/>
      <c r="E4" s="419"/>
      <c r="F4" s="346"/>
      <c r="G4" s="438"/>
      <c r="H4" s="346"/>
      <c r="I4" s="346"/>
      <c r="J4" s="209" t="s">
        <v>5</v>
      </c>
      <c r="K4" s="210" t="s">
        <v>671</v>
      </c>
      <c r="L4" s="211" t="s">
        <v>674</v>
      </c>
      <c r="M4" s="212" t="s">
        <v>675</v>
      </c>
      <c r="N4" s="209" t="s">
        <v>383</v>
      </c>
      <c r="O4" s="113"/>
      <c r="P4" s="350"/>
      <c r="Q4" s="350"/>
      <c r="R4" s="213" t="s">
        <v>921</v>
      </c>
      <c r="S4" s="352"/>
      <c r="T4" s="393"/>
    </row>
    <row r="5" spans="1:21" ht="101" customHeight="1" thickBot="1">
      <c r="A5" s="199" t="s">
        <v>1333</v>
      </c>
      <c r="B5" s="200" t="s">
        <v>1331</v>
      </c>
      <c r="C5" s="200" t="s">
        <v>1338</v>
      </c>
      <c r="D5" s="200" t="s">
        <v>1339</v>
      </c>
      <c r="E5" s="200" t="s">
        <v>1340</v>
      </c>
      <c r="F5" s="200"/>
      <c r="G5" s="200"/>
      <c r="H5" s="200" t="s">
        <v>924</v>
      </c>
      <c r="I5" s="200" t="s">
        <v>5</v>
      </c>
      <c r="J5" s="215" t="s">
        <v>5</v>
      </c>
      <c r="K5" s="199" t="s">
        <v>1334</v>
      </c>
      <c r="L5" s="200" t="s">
        <v>1335</v>
      </c>
      <c r="M5" s="216"/>
      <c r="N5" s="217"/>
      <c r="O5" s="243" t="s">
        <v>1337</v>
      </c>
      <c r="P5" s="218" t="s">
        <v>1332</v>
      </c>
      <c r="Q5" s="219" t="s">
        <v>1114</v>
      </c>
      <c r="R5" s="220" t="s">
        <v>1189</v>
      </c>
      <c r="S5" s="220" t="s">
        <v>1189</v>
      </c>
      <c r="T5" s="221" t="s">
        <v>1330</v>
      </c>
      <c r="U5" s="117"/>
    </row>
    <row r="6" spans="1:21" ht="47" customHeight="1" thickBot="1">
      <c r="A6" s="337" t="s">
        <v>1377</v>
      </c>
      <c r="B6" s="345" t="s">
        <v>1378</v>
      </c>
      <c r="C6" s="345" t="s">
        <v>1387</v>
      </c>
      <c r="D6" s="345" t="s">
        <v>1388</v>
      </c>
      <c r="E6" s="345" t="s">
        <v>1389</v>
      </c>
      <c r="F6" s="200"/>
      <c r="G6" s="200"/>
      <c r="H6" s="200"/>
      <c r="I6" s="200"/>
      <c r="J6" s="118" t="s">
        <v>2</v>
      </c>
      <c r="K6" s="199" t="s">
        <v>1379</v>
      </c>
      <c r="L6" s="109" t="s">
        <v>1383</v>
      </c>
      <c r="M6" s="200"/>
      <c r="N6" s="200"/>
      <c r="O6" s="243" t="s">
        <v>1390</v>
      </c>
      <c r="P6" s="349" t="s">
        <v>1026</v>
      </c>
      <c r="Q6" s="425" t="s">
        <v>1114</v>
      </c>
      <c r="R6" s="203"/>
      <c r="S6" s="351" t="s">
        <v>1375</v>
      </c>
      <c r="T6" s="355" t="s">
        <v>1376</v>
      </c>
      <c r="U6" s="117"/>
    </row>
    <row r="7" spans="1:21" ht="55" customHeight="1" thickBot="1">
      <c r="A7" s="390"/>
      <c r="B7" s="384"/>
      <c r="C7" s="384"/>
      <c r="D7" s="384"/>
      <c r="E7" s="384"/>
      <c r="F7" s="200"/>
      <c r="G7" s="200"/>
      <c r="H7" s="200"/>
      <c r="I7" s="200"/>
      <c r="J7" s="116" t="s">
        <v>3</v>
      </c>
      <c r="K7" s="111" t="s">
        <v>1381</v>
      </c>
      <c r="L7" s="112" t="s">
        <v>1384</v>
      </c>
      <c r="M7" s="200"/>
      <c r="N7" s="200"/>
      <c r="O7" s="244" t="s">
        <v>1390</v>
      </c>
      <c r="P7" s="431"/>
      <c r="Q7" s="432"/>
      <c r="R7" s="203"/>
      <c r="S7" s="388"/>
      <c r="T7" s="389"/>
      <c r="U7" s="117"/>
    </row>
    <row r="8" spans="1:21" ht="41" customHeight="1" thickBot="1">
      <c r="A8" s="390"/>
      <c r="B8" s="384"/>
      <c r="C8" s="384"/>
      <c r="D8" s="384"/>
      <c r="E8" s="384"/>
      <c r="F8" s="200"/>
      <c r="G8" s="200"/>
      <c r="H8" s="200"/>
      <c r="I8" s="200"/>
      <c r="J8" s="116" t="s">
        <v>121</v>
      </c>
      <c r="K8" s="111" t="s">
        <v>1382</v>
      </c>
      <c r="L8" s="112" t="s">
        <v>1385</v>
      </c>
      <c r="M8" s="200"/>
      <c r="N8" s="200"/>
      <c r="O8" s="244" t="s">
        <v>1390</v>
      </c>
      <c r="P8" s="431"/>
      <c r="Q8" s="432"/>
      <c r="R8" s="203"/>
      <c r="S8" s="388"/>
      <c r="T8" s="389"/>
      <c r="U8" s="117"/>
    </row>
    <row r="9" spans="1:21" ht="51" customHeight="1" thickBot="1">
      <c r="A9" s="338"/>
      <c r="B9" s="346"/>
      <c r="C9" s="346"/>
      <c r="D9" s="346"/>
      <c r="E9" s="346"/>
      <c r="F9" s="216"/>
      <c r="G9" s="216"/>
      <c r="H9" s="216"/>
      <c r="I9" s="216"/>
      <c r="J9" s="211" t="s">
        <v>1</v>
      </c>
      <c r="K9" s="208" t="s">
        <v>1380</v>
      </c>
      <c r="L9" s="113" t="s">
        <v>1386</v>
      </c>
      <c r="M9" s="200"/>
      <c r="N9" s="200"/>
      <c r="O9" s="245" t="s">
        <v>1390</v>
      </c>
      <c r="P9" s="350"/>
      <c r="Q9" s="426"/>
      <c r="R9" s="203"/>
      <c r="S9" s="352"/>
      <c r="T9" s="354"/>
      <c r="U9" s="117"/>
    </row>
    <row r="10" spans="1:21" ht="47" customHeight="1" thickBot="1">
      <c r="A10" s="390" t="s">
        <v>1354</v>
      </c>
      <c r="B10" s="384" t="s">
        <v>1355</v>
      </c>
      <c r="C10" s="384" t="s">
        <v>1361</v>
      </c>
      <c r="D10" s="384" t="s">
        <v>1362</v>
      </c>
      <c r="E10" s="384" t="s">
        <v>1363</v>
      </c>
      <c r="F10" s="114"/>
      <c r="G10" s="114"/>
      <c r="H10" s="384" t="s">
        <v>1360</v>
      </c>
      <c r="I10" s="114" t="s">
        <v>3</v>
      </c>
      <c r="J10" s="112" t="s">
        <v>3</v>
      </c>
      <c r="K10" s="114" t="s">
        <v>1366</v>
      </c>
      <c r="L10" s="114" t="s">
        <v>1364</v>
      </c>
      <c r="M10" s="200"/>
      <c r="N10" s="200"/>
      <c r="O10" s="244">
        <v>1</v>
      </c>
      <c r="P10" s="349" t="s">
        <v>1026</v>
      </c>
      <c r="Q10" s="425" t="s">
        <v>1135</v>
      </c>
      <c r="R10" s="351" t="s">
        <v>1356</v>
      </c>
      <c r="S10" s="351" t="s">
        <v>1356</v>
      </c>
      <c r="T10" s="355" t="s">
        <v>1357</v>
      </c>
      <c r="U10" s="117"/>
    </row>
    <row r="11" spans="1:21" ht="36" customHeight="1" thickBot="1">
      <c r="A11" s="338"/>
      <c r="B11" s="346"/>
      <c r="C11" s="346"/>
      <c r="D11" s="346"/>
      <c r="E11" s="346"/>
      <c r="F11" s="216"/>
      <c r="G11" s="216"/>
      <c r="H11" s="346"/>
      <c r="I11" s="209" t="s">
        <v>1</v>
      </c>
      <c r="J11" s="113" t="s">
        <v>1</v>
      </c>
      <c r="K11" s="209" t="s">
        <v>1367</v>
      </c>
      <c r="L11" s="209" t="s">
        <v>1365</v>
      </c>
      <c r="M11" s="209"/>
      <c r="N11" s="209"/>
      <c r="O11" s="245">
        <v>0.65</v>
      </c>
      <c r="P11" s="350"/>
      <c r="Q11" s="426"/>
      <c r="R11" s="352"/>
      <c r="S11" s="352"/>
      <c r="T11" s="354"/>
      <c r="U11" s="117"/>
    </row>
    <row r="12" spans="1:21" ht="38" customHeight="1">
      <c r="A12" s="337" t="s">
        <v>360</v>
      </c>
      <c r="B12" s="345" t="s">
        <v>1028</v>
      </c>
      <c r="C12" s="345" t="s">
        <v>1124</v>
      </c>
      <c r="D12" s="417" t="s">
        <v>1125</v>
      </c>
      <c r="E12" s="417" t="s">
        <v>1126</v>
      </c>
      <c r="F12" s="345" t="s">
        <v>890</v>
      </c>
      <c r="G12" s="345" t="s">
        <v>885</v>
      </c>
      <c r="H12" s="345" t="s">
        <v>886</v>
      </c>
      <c r="I12" s="345" t="s">
        <v>920</v>
      </c>
      <c r="J12" s="200" t="s">
        <v>1</v>
      </c>
      <c r="K12" s="201" t="s">
        <v>677</v>
      </c>
      <c r="L12" s="118" t="s">
        <v>676</v>
      </c>
      <c r="M12" s="215" t="s">
        <v>686</v>
      </c>
      <c r="N12" s="200" t="s">
        <v>377</v>
      </c>
      <c r="O12" s="109">
        <v>4.5999999999999999E-2</v>
      </c>
      <c r="P12" s="349" t="s">
        <v>1026</v>
      </c>
      <c r="Q12" s="349" t="s">
        <v>1127</v>
      </c>
      <c r="R12" s="223" t="s">
        <v>887</v>
      </c>
      <c r="S12" s="351" t="s">
        <v>888</v>
      </c>
      <c r="T12" s="355" t="s">
        <v>1016</v>
      </c>
      <c r="U12" s="117"/>
    </row>
    <row r="13" spans="1:21" ht="30" customHeight="1">
      <c r="A13" s="390"/>
      <c r="B13" s="384"/>
      <c r="C13" s="384"/>
      <c r="D13" s="418"/>
      <c r="E13" s="418"/>
      <c r="F13" s="384"/>
      <c r="G13" s="384"/>
      <c r="H13" s="384"/>
      <c r="I13" s="384"/>
      <c r="J13" s="114" t="s">
        <v>2</v>
      </c>
      <c r="K13" s="205" t="s">
        <v>678</v>
      </c>
      <c r="L13" s="116" t="s">
        <v>679</v>
      </c>
      <c r="M13" s="224" t="s">
        <v>686</v>
      </c>
      <c r="N13" s="114" t="s">
        <v>378</v>
      </c>
      <c r="O13" s="112">
        <v>0</v>
      </c>
      <c r="P13" s="431"/>
      <c r="Q13" s="431"/>
      <c r="R13" s="223" t="s">
        <v>887</v>
      </c>
      <c r="S13" s="388"/>
      <c r="T13" s="389"/>
      <c r="U13" s="117"/>
    </row>
    <row r="14" spans="1:21" ht="28" customHeight="1">
      <c r="A14" s="390"/>
      <c r="B14" s="384"/>
      <c r="C14" s="384"/>
      <c r="D14" s="418"/>
      <c r="E14" s="418"/>
      <c r="F14" s="384"/>
      <c r="G14" s="384"/>
      <c r="H14" s="384"/>
      <c r="I14" s="384"/>
      <c r="J14" s="114" t="s">
        <v>3</v>
      </c>
      <c r="K14" s="205" t="s">
        <v>680</v>
      </c>
      <c r="L14" s="116" t="s">
        <v>681</v>
      </c>
      <c r="M14" s="224" t="s">
        <v>686</v>
      </c>
      <c r="N14" s="114" t="s">
        <v>379</v>
      </c>
      <c r="O14" s="112">
        <v>0</v>
      </c>
      <c r="P14" s="431"/>
      <c r="Q14" s="431"/>
      <c r="R14" s="223" t="s">
        <v>887</v>
      </c>
      <c r="S14" s="388"/>
      <c r="T14" s="389"/>
      <c r="U14" s="80"/>
    </row>
    <row r="15" spans="1:21" ht="26" customHeight="1">
      <c r="A15" s="390"/>
      <c r="B15" s="384"/>
      <c r="C15" s="384"/>
      <c r="D15" s="418"/>
      <c r="E15" s="418"/>
      <c r="F15" s="384"/>
      <c r="G15" s="384"/>
      <c r="H15" s="384"/>
      <c r="I15" s="384"/>
      <c r="J15" s="114" t="s">
        <v>4</v>
      </c>
      <c r="K15" s="205" t="s">
        <v>682</v>
      </c>
      <c r="L15" s="116" t="s">
        <v>683</v>
      </c>
      <c r="M15" s="224" t="s">
        <v>675</v>
      </c>
      <c r="N15" s="114" t="s">
        <v>374</v>
      </c>
      <c r="O15" s="112">
        <v>0</v>
      </c>
      <c r="P15" s="431"/>
      <c r="Q15" s="431"/>
      <c r="R15" s="223" t="s">
        <v>887</v>
      </c>
      <c r="S15" s="388"/>
      <c r="T15" s="389"/>
      <c r="U15" s="80"/>
    </row>
    <row r="16" spans="1:21" ht="26" customHeight="1" thickBot="1">
      <c r="A16" s="338"/>
      <c r="B16" s="346"/>
      <c r="C16" s="346"/>
      <c r="D16" s="419"/>
      <c r="E16" s="419"/>
      <c r="F16" s="346"/>
      <c r="G16" s="346"/>
      <c r="H16" s="346"/>
      <c r="I16" s="346"/>
      <c r="J16" s="209" t="s">
        <v>5</v>
      </c>
      <c r="K16" s="205" t="s">
        <v>684</v>
      </c>
      <c r="L16" s="116" t="s">
        <v>685</v>
      </c>
      <c r="M16" s="225" t="s">
        <v>675</v>
      </c>
      <c r="N16" s="209" t="s">
        <v>383</v>
      </c>
      <c r="O16" s="112">
        <v>7.0000000000000001E-3</v>
      </c>
      <c r="P16" s="350"/>
      <c r="Q16" s="350"/>
      <c r="R16" s="226" t="s">
        <v>887</v>
      </c>
      <c r="S16" s="352"/>
      <c r="T16" s="354"/>
      <c r="U16" s="80"/>
    </row>
    <row r="17" spans="1:21" ht="29" customHeight="1">
      <c r="A17" s="337" t="s">
        <v>1307</v>
      </c>
      <c r="B17" s="427" t="s">
        <v>1308</v>
      </c>
      <c r="C17" s="430" t="s">
        <v>1311</v>
      </c>
      <c r="D17" s="430" t="s">
        <v>1319</v>
      </c>
      <c r="E17" s="345" t="s">
        <v>1312</v>
      </c>
      <c r="F17" s="246"/>
      <c r="G17" s="246"/>
      <c r="H17" s="345" t="s">
        <v>1182</v>
      </c>
      <c r="I17" s="246" t="s">
        <v>251</v>
      </c>
      <c r="J17" s="246" t="s">
        <v>251</v>
      </c>
      <c r="K17" s="247" t="s">
        <v>1315</v>
      </c>
      <c r="L17" s="246" t="s">
        <v>1318</v>
      </c>
      <c r="M17" s="246"/>
      <c r="N17" s="248"/>
      <c r="O17" s="243">
        <v>0.746</v>
      </c>
      <c r="P17" s="349" t="s">
        <v>1303</v>
      </c>
      <c r="Q17" s="349" t="s">
        <v>1304</v>
      </c>
      <c r="R17" s="351" t="s">
        <v>1188</v>
      </c>
      <c r="S17" s="339" t="s">
        <v>1310</v>
      </c>
      <c r="T17" s="433" t="s">
        <v>1309</v>
      </c>
      <c r="U17" s="80"/>
    </row>
    <row r="18" spans="1:21" ht="32" customHeight="1">
      <c r="A18" s="390"/>
      <c r="B18" s="428"/>
      <c r="C18" s="428"/>
      <c r="D18" s="428"/>
      <c r="E18" s="384"/>
      <c r="F18" s="10"/>
      <c r="G18" s="10"/>
      <c r="H18" s="384"/>
      <c r="I18" s="10" t="s">
        <v>1305</v>
      </c>
      <c r="J18" s="10" t="s">
        <v>1305</v>
      </c>
      <c r="K18" s="249" t="s">
        <v>1316</v>
      </c>
      <c r="L18" s="10" t="s">
        <v>1320</v>
      </c>
      <c r="M18" s="10"/>
      <c r="N18" s="250"/>
      <c r="O18" s="244">
        <v>0.85299999999999998</v>
      </c>
      <c r="P18" s="431"/>
      <c r="Q18" s="431"/>
      <c r="R18" s="388"/>
      <c r="S18" s="446"/>
      <c r="T18" s="434"/>
      <c r="U18" s="80"/>
    </row>
    <row r="19" spans="1:21" ht="37" customHeight="1" thickBot="1">
      <c r="A19" s="338"/>
      <c r="B19" s="429"/>
      <c r="C19" s="429"/>
      <c r="D19" s="429"/>
      <c r="E19" s="346"/>
      <c r="F19" s="209"/>
      <c r="G19" s="209"/>
      <c r="H19" s="346"/>
      <c r="I19" s="209" t="s">
        <v>1</v>
      </c>
      <c r="J19" s="209" t="s">
        <v>1</v>
      </c>
      <c r="K19" s="208" t="s">
        <v>1317</v>
      </c>
      <c r="L19" s="209" t="s">
        <v>1321</v>
      </c>
      <c r="M19" s="209"/>
      <c r="N19" s="113"/>
      <c r="O19" s="245">
        <v>0.39</v>
      </c>
      <c r="P19" s="350"/>
      <c r="Q19" s="350"/>
      <c r="R19" s="352"/>
      <c r="S19" s="340"/>
      <c r="T19" s="435"/>
      <c r="U19" s="80"/>
    </row>
    <row r="20" spans="1:21" ht="23" customHeight="1">
      <c r="A20" s="337" t="s">
        <v>1184</v>
      </c>
      <c r="B20" s="345" t="s">
        <v>1276</v>
      </c>
      <c r="C20" s="345" t="s">
        <v>1280</v>
      </c>
      <c r="D20" s="345" t="s">
        <v>1282</v>
      </c>
      <c r="E20" s="345" t="s">
        <v>1281</v>
      </c>
      <c r="F20" s="200"/>
      <c r="G20" s="200"/>
      <c r="H20" s="345" t="s">
        <v>1183</v>
      </c>
      <c r="I20" s="200" t="s">
        <v>251</v>
      </c>
      <c r="J20" s="200" t="s">
        <v>251</v>
      </c>
      <c r="K20" s="199" t="s">
        <v>1292</v>
      </c>
      <c r="L20" s="200" t="s">
        <v>1297</v>
      </c>
      <c r="M20" s="200"/>
      <c r="N20" s="200"/>
      <c r="O20" s="130" t="s">
        <v>1298</v>
      </c>
      <c r="P20" s="425" t="s">
        <v>1026</v>
      </c>
      <c r="Q20" s="425" t="s">
        <v>1114</v>
      </c>
      <c r="R20" s="351" t="s">
        <v>1187</v>
      </c>
      <c r="S20" s="351" t="s">
        <v>1187</v>
      </c>
      <c r="T20" s="433" t="s">
        <v>1279</v>
      </c>
      <c r="U20" s="110"/>
    </row>
    <row r="21" spans="1:21" ht="32" customHeight="1">
      <c r="A21" s="390"/>
      <c r="B21" s="384"/>
      <c r="C21" s="384"/>
      <c r="D21" s="384"/>
      <c r="E21" s="384"/>
      <c r="F21" s="114"/>
      <c r="G21" s="114"/>
      <c r="H21" s="384"/>
      <c r="I21" s="114" t="s">
        <v>2</v>
      </c>
      <c r="J21" s="114" t="s">
        <v>2</v>
      </c>
      <c r="K21" s="111" t="s">
        <v>1288</v>
      </c>
      <c r="L21" s="114" t="s">
        <v>1293</v>
      </c>
      <c r="M21" s="114"/>
      <c r="N21" s="114"/>
      <c r="O21" s="131" t="s">
        <v>1298</v>
      </c>
      <c r="P21" s="432"/>
      <c r="Q21" s="432"/>
      <c r="R21" s="388"/>
      <c r="S21" s="388"/>
      <c r="T21" s="434"/>
      <c r="U21" s="110"/>
    </row>
    <row r="22" spans="1:21" ht="17" customHeight="1">
      <c r="A22" s="390"/>
      <c r="B22" s="384"/>
      <c r="C22" s="384"/>
      <c r="D22" s="384"/>
      <c r="E22" s="384"/>
      <c r="F22" s="114"/>
      <c r="G22" s="114"/>
      <c r="H22" s="384"/>
      <c r="I22" s="114" t="s">
        <v>98</v>
      </c>
      <c r="J22" s="114" t="s">
        <v>98</v>
      </c>
      <c r="K22" s="111" t="s">
        <v>1291</v>
      </c>
      <c r="L22" s="114" t="s">
        <v>1296</v>
      </c>
      <c r="M22" s="114"/>
      <c r="N22" s="114"/>
      <c r="O22" s="131" t="s">
        <v>1298</v>
      </c>
      <c r="P22" s="432"/>
      <c r="Q22" s="432"/>
      <c r="R22" s="388"/>
      <c r="S22" s="388"/>
      <c r="T22" s="434"/>
      <c r="U22" s="110"/>
    </row>
    <row r="23" spans="1:21" ht="32" customHeight="1">
      <c r="A23" s="390"/>
      <c r="B23" s="384"/>
      <c r="C23" s="384"/>
      <c r="D23" s="384"/>
      <c r="E23" s="384"/>
      <c r="F23" s="114"/>
      <c r="G23" s="114"/>
      <c r="H23" s="384"/>
      <c r="I23" s="114" t="s">
        <v>1278</v>
      </c>
      <c r="J23" s="114" t="s">
        <v>1278</v>
      </c>
      <c r="K23" s="111" t="s">
        <v>1290</v>
      </c>
      <c r="L23" s="114" t="s">
        <v>1295</v>
      </c>
      <c r="M23" s="114"/>
      <c r="N23" s="114"/>
      <c r="O23" s="131" t="s">
        <v>1298</v>
      </c>
      <c r="P23" s="432"/>
      <c r="Q23" s="432"/>
      <c r="R23" s="388"/>
      <c r="S23" s="388"/>
      <c r="T23" s="434"/>
      <c r="U23" s="110"/>
    </row>
    <row r="24" spans="1:21" ht="43" customHeight="1" thickBot="1">
      <c r="A24" s="338"/>
      <c r="B24" s="346"/>
      <c r="C24" s="346"/>
      <c r="D24" s="346"/>
      <c r="E24" s="346"/>
      <c r="F24" s="209"/>
      <c r="G24" s="209"/>
      <c r="H24" s="346"/>
      <c r="I24" s="209" t="s">
        <v>1</v>
      </c>
      <c r="J24" s="209" t="s">
        <v>1</v>
      </c>
      <c r="K24" s="208" t="s">
        <v>1289</v>
      </c>
      <c r="L24" s="209" t="s">
        <v>1294</v>
      </c>
      <c r="M24" s="209"/>
      <c r="N24" s="209"/>
      <c r="O24" s="132" t="s">
        <v>1298</v>
      </c>
      <c r="P24" s="426"/>
      <c r="Q24" s="426"/>
      <c r="R24" s="352"/>
      <c r="S24" s="352"/>
      <c r="T24" s="435"/>
      <c r="U24" s="110"/>
    </row>
    <row r="25" spans="1:21" ht="33" customHeight="1">
      <c r="A25" s="337" t="s">
        <v>1257</v>
      </c>
      <c r="B25" s="345" t="s">
        <v>1240</v>
      </c>
      <c r="C25" s="345" t="s">
        <v>1262</v>
      </c>
      <c r="D25" s="345" t="s">
        <v>1264</v>
      </c>
      <c r="E25" s="345" t="s">
        <v>1263</v>
      </c>
      <c r="F25" s="200"/>
      <c r="G25" s="200"/>
      <c r="H25" s="200"/>
      <c r="I25" s="200"/>
      <c r="J25" s="200" t="s">
        <v>97</v>
      </c>
      <c r="K25" s="247" t="s">
        <v>1266</v>
      </c>
      <c r="L25" s="109" t="s">
        <v>1268</v>
      </c>
      <c r="M25" s="246"/>
      <c r="N25" s="200"/>
      <c r="O25" s="131"/>
      <c r="P25" s="349" t="s">
        <v>1241</v>
      </c>
      <c r="Q25" s="349" t="s">
        <v>1114</v>
      </c>
      <c r="R25" s="253"/>
      <c r="S25" s="339" t="s">
        <v>1258</v>
      </c>
      <c r="T25" s="433" t="s">
        <v>1261</v>
      </c>
      <c r="U25" s="110"/>
    </row>
    <row r="26" spans="1:21" ht="17" customHeight="1" thickBot="1">
      <c r="A26" s="338"/>
      <c r="B26" s="346"/>
      <c r="C26" s="346"/>
      <c r="D26" s="346"/>
      <c r="E26" s="346"/>
      <c r="F26" s="209"/>
      <c r="G26" s="209"/>
      <c r="H26" s="209"/>
      <c r="I26" s="209"/>
      <c r="J26" s="209" t="s">
        <v>5</v>
      </c>
      <c r="K26" s="208" t="s">
        <v>1267</v>
      </c>
      <c r="L26" s="113" t="s">
        <v>1269</v>
      </c>
      <c r="M26" s="251"/>
      <c r="N26" s="209"/>
      <c r="O26" s="132"/>
      <c r="P26" s="350"/>
      <c r="Q26" s="350"/>
      <c r="R26" s="254"/>
      <c r="S26" s="436"/>
      <c r="T26" s="435"/>
      <c r="U26" s="110"/>
    </row>
    <row r="27" spans="1:21" ht="85">
      <c r="A27" s="337" t="s">
        <v>1013</v>
      </c>
      <c r="B27" s="345" t="s">
        <v>926</v>
      </c>
      <c r="C27" s="345" t="s">
        <v>1130</v>
      </c>
      <c r="D27" s="345" t="s">
        <v>1129</v>
      </c>
      <c r="E27" s="345" t="s">
        <v>1131</v>
      </c>
      <c r="F27" s="345" t="s">
        <v>932</v>
      </c>
      <c r="G27" s="200"/>
      <c r="H27" s="345" t="s">
        <v>663</v>
      </c>
      <c r="I27" s="345" t="s">
        <v>904</v>
      </c>
      <c r="J27" s="200" t="s">
        <v>5</v>
      </c>
      <c r="K27" s="249" t="s">
        <v>692</v>
      </c>
      <c r="L27" s="112" t="s">
        <v>632</v>
      </c>
      <c r="M27" s="246" t="s">
        <v>675</v>
      </c>
      <c r="N27" s="200" t="s">
        <v>386</v>
      </c>
      <c r="O27" s="109"/>
      <c r="P27" s="349" t="s">
        <v>1134</v>
      </c>
      <c r="Q27" s="349" t="s">
        <v>1135</v>
      </c>
      <c r="R27" s="253" t="s">
        <v>663</v>
      </c>
      <c r="S27" s="339" t="s">
        <v>925</v>
      </c>
      <c r="T27" s="433" t="s">
        <v>1017</v>
      </c>
      <c r="U27" s="110"/>
    </row>
    <row r="28" spans="1:21" ht="69" thickBot="1">
      <c r="A28" s="390"/>
      <c r="B28" s="384"/>
      <c r="C28" s="384"/>
      <c r="D28" s="384"/>
      <c r="E28" s="384"/>
      <c r="F28" s="384"/>
      <c r="G28" s="114"/>
      <c r="H28" s="384"/>
      <c r="I28" s="384"/>
      <c r="J28" s="114" t="s">
        <v>251</v>
      </c>
      <c r="K28" s="249" t="s">
        <v>693</v>
      </c>
      <c r="L28" s="112" t="s">
        <v>633</v>
      </c>
      <c r="M28" s="10" t="s">
        <v>675</v>
      </c>
      <c r="N28" s="114" t="s">
        <v>387</v>
      </c>
      <c r="O28" s="112"/>
      <c r="P28" s="431"/>
      <c r="Q28" s="431"/>
      <c r="R28" s="255" t="s">
        <v>663</v>
      </c>
      <c r="S28" s="439"/>
      <c r="T28" s="434"/>
      <c r="U28" s="110"/>
    </row>
    <row r="29" spans="1:21" ht="17">
      <c r="A29" s="337" t="s">
        <v>1242</v>
      </c>
      <c r="B29" s="345" t="s">
        <v>1240</v>
      </c>
      <c r="C29" s="345" t="s">
        <v>1243</v>
      </c>
      <c r="D29" s="345" t="s">
        <v>1245</v>
      </c>
      <c r="E29" s="345" t="s">
        <v>1244</v>
      </c>
      <c r="F29" s="200"/>
      <c r="G29" s="200"/>
      <c r="H29" s="200"/>
      <c r="I29" s="200"/>
      <c r="J29" s="200" t="s">
        <v>97</v>
      </c>
      <c r="K29" s="247" t="s">
        <v>1250</v>
      </c>
      <c r="L29" s="109" t="s">
        <v>1252</v>
      </c>
      <c r="M29" s="246"/>
      <c r="N29" s="200"/>
      <c r="O29" s="130"/>
      <c r="P29" s="349" t="s">
        <v>1241</v>
      </c>
      <c r="Q29" s="349" t="s">
        <v>1114</v>
      </c>
      <c r="R29" s="253"/>
      <c r="S29" s="339" t="s">
        <v>1186</v>
      </c>
      <c r="T29" s="433" t="s">
        <v>1260</v>
      </c>
      <c r="U29" s="110"/>
    </row>
    <row r="30" spans="1:21" ht="38" customHeight="1" thickBot="1">
      <c r="A30" s="338"/>
      <c r="B30" s="346"/>
      <c r="C30" s="346"/>
      <c r="D30" s="346"/>
      <c r="E30" s="346"/>
      <c r="F30" s="209"/>
      <c r="G30" s="209"/>
      <c r="H30" s="209"/>
      <c r="I30" s="209"/>
      <c r="J30" s="209" t="s">
        <v>5</v>
      </c>
      <c r="K30" s="256" t="s">
        <v>1251</v>
      </c>
      <c r="L30" s="113" t="s">
        <v>1253</v>
      </c>
      <c r="M30" s="251"/>
      <c r="N30" s="209"/>
      <c r="O30" s="132"/>
      <c r="P30" s="350"/>
      <c r="Q30" s="350"/>
      <c r="R30" s="254"/>
      <c r="S30" s="436"/>
      <c r="T30" s="435"/>
      <c r="U30" s="115"/>
    </row>
    <row r="31" spans="1:21" ht="86" thickBot="1">
      <c r="A31" s="208" t="s">
        <v>1228</v>
      </c>
      <c r="B31" s="209" t="s">
        <v>937</v>
      </c>
      <c r="C31" s="209" t="s">
        <v>1230</v>
      </c>
      <c r="D31" s="209" t="s">
        <v>1231</v>
      </c>
      <c r="E31" s="209" t="s">
        <v>1232</v>
      </c>
      <c r="F31" s="209"/>
      <c r="G31" s="209"/>
      <c r="H31" s="209" t="s">
        <v>924</v>
      </c>
      <c r="I31" s="209" t="s">
        <v>4</v>
      </c>
      <c r="J31" s="225" t="s">
        <v>4</v>
      </c>
      <c r="K31" s="208" t="s">
        <v>1238</v>
      </c>
      <c r="L31" s="209" t="s">
        <v>1236</v>
      </c>
      <c r="M31" s="209"/>
      <c r="N31" s="113"/>
      <c r="O31" s="132"/>
      <c r="P31" s="222" t="s">
        <v>1026</v>
      </c>
      <c r="Q31" s="222" t="s">
        <v>1114</v>
      </c>
      <c r="R31" s="214" t="s">
        <v>1185</v>
      </c>
      <c r="S31" s="227" t="s">
        <v>1185</v>
      </c>
      <c r="T31" s="252" t="s">
        <v>1229</v>
      </c>
      <c r="U31" s="115"/>
    </row>
    <row r="32" spans="1:21" ht="30" customHeight="1">
      <c r="A32" s="337" t="s">
        <v>299</v>
      </c>
      <c r="B32" s="345" t="s">
        <v>937</v>
      </c>
      <c r="C32" s="345" t="s">
        <v>936</v>
      </c>
      <c r="D32" s="345" t="s">
        <v>1136</v>
      </c>
      <c r="E32" s="345" t="s">
        <v>1137</v>
      </c>
      <c r="F32" s="345" t="s">
        <v>938</v>
      </c>
      <c r="G32" s="200"/>
      <c r="H32" s="345" t="s">
        <v>663</v>
      </c>
      <c r="I32" s="345" t="s">
        <v>924</v>
      </c>
      <c r="J32" s="200" t="s">
        <v>251</v>
      </c>
      <c r="K32" s="247" t="s">
        <v>696</v>
      </c>
      <c r="L32" s="228" t="s">
        <v>507</v>
      </c>
      <c r="M32" s="257" t="s">
        <v>686</v>
      </c>
      <c r="N32" s="200" t="s">
        <v>394</v>
      </c>
      <c r="O32" s="109"/>
      <c r="P32" s="349" t="s">
        <v>1134</v>
      </c>
      <c r="Q32" s="349" t="s">
        <v>1114</v>
      </c>
      <c r="R32" s="253" t="s">
        <v>663</v>
      </c>
      <c r="S32" s="339" t="s">
        <v>935</v>
      </c>
      <c r="T32" s="353" t="s">
        <v>1018</v>
      </c>
      <c r="U32" s="115"/>
    </row>
    <row r="33" spans="1:21" ht="27" customHeight="1">
      <c r="A33" s="390"/>
      <c r="B33" s="384"/>
      <c r="C33" s="384"/>
      <c r="D33" s="384"/>
      <c r="E33" s="384"/>
      <c r="F33" s="384"/>
      <c r="G33" s="114"/>
      <c r="H33" s="384"/>
      <c r="I33" s="384"/>
      <c r="J33" s="114" t="s">
        <v>2</v>
      </c>
      <c r="K33" s="249" t="s">
        <v>697</v>
      </c>
      <c r="L33" s="112" t="s">
        <v>508</v>
      </c>
      <c r="M33" s="28" t="s">
        <v>686</v>
      </c>
      <c r="N33" s="114" t="s">
        <v>378</v>
      </c>
      <c r="O33" s="112"/>
      <c r="P33" s="431"/>
      <c r="Q33" s="431"/>
      <c r="R33" s="255" t="s">
        <v>663</v>
      </c>
      <c r="S33" s="439"/>
      <c r="T33" s="434"/>
      <c r="U33" s="115"/>
    </row>
    <row r="34" spans="1:21" ht="51">
      <c r="A34" s="390"/>
      <c r="B34" s="384"/>
      <c r="C34" s="384"/>
      <c r="D34" s="384"/>
      <c r="E34" s="384"/>
      <c r="F34" s="384"/>
      <c r="G34" s="114"/>
      <c r="H34" s="384"/>
      <c r="I34" s="384"/>
      <c r="J34" s="114" t="s">
        <v>300</v>
      </c>
      <c r="K34" s="249" t="s">
        <v>698</v>
      </c>
      <c r="L34" s="112" t="s">
        <v>509</v>
      </c>
      <c r="M34" s="28" t="s">
        <v>686</v>
      </c>
      <c r="N34" s="204" t="s">
        <v>379</v>
      </c>
      <c r="O34" s="112"/>
      <c r="P34" s="431"/>
      <c r="Q34" s="431"/>
      <c r="R34" s="255" t="s">
        <v>663</v>
      </c>
      <c r="S34" s="439"/>
      <c r="T34" s="434"/>
      <c r="U34" s="115"/>
    </row>
    <row r="35" spans="1:21" ht="68">
      <c r="A35" s="390"/>
      <c r="B35" s="384"/>
      <c r="C35" s="384"/>
      <c r="D35" s="384"/>
      <c r="E35" s="384"/>
      <c r="F35" s="384"/>
      <c r="G35" s="114"/>
      <c r="H35" s="384"/>
      <c r="I35" s="384"/>
      <c r="J35" s="114" t="s">
        <v>301</v>
      </c>
      <c r="K35" s="249" t="s">
        <v>699</v>
      </c>
      <c r="L35" s="112" t="s">
        <v>510</v>
      </c>
      <c r="M35" s="28" t="s">
        <v>686</v>
      </c>
      <c r="N35" s="114" t="s">
        <v>395</v>
      </c>
      <c r="O35" s="112"/>
      <c r="P35" s="431"/>
      <c r="Q35" s="431"/>
      <c r="R35" s="255" t="s">
        <v>663</v>
      </c>
      <c r="S35" s="439"/>
      <c r="T35" s="434"/>
      <c r="U35" s="115"/>
    </row>
    <row r="36" spans="1:21" ht="68">
      <c r="A36" s="390"/>
      <c r="B36" s="384"/>
      <c r="C36" s="384"/>
      <c r="D36" s="384"/>
      <c r="E36" s="384"/>
      <c r="F36" s="384"/>
      <c r="G36" s="114"/>
      <c r="H36" s="384"/>
      <c r="I36" s="384"/>
      <c r="J36" s="114" t="s">
        <v>1</v>
      </c>
      <c r="K36" s="249" t="s">
        <v>701</v>
      </c>
      <c r="L36" s="112" t="s">
        <v>512</v>
      </c>
      <c r="M36" s="28" t="s">
        <v>686</v>
      </c>
      <c r="N36" s="114" t="s">
        <v>397</v>
      </c>
      <c r="O36" s="112"/>
      <c r="P36" s="431"/>
      <c r="Q36" s="431"/>
      <c r="R36" s="255" t="s">
        <v>663</v>
      </c>
      <c r="S36" s="439"/>
      <c r="T36" s="434"/>
      <c r="U36" s="115"/>
    </row>
    <row r="37" spans="1:21" ht="22" customHeight="1" thickBot="1">
      <c r="A37" s="338"/>
      <c r="B37" s="346"/>
      <c r="C37" s="346"/>
      <c r="D37" s="346"/>
      <c r="E37" s="346"/>
      <c r="F37" s="346"/>
      <c r="G37" s="209"/>
      <c r="H37" s="346"/>
      <c r="I37" s="346"/>
      <c r="J37" s="209" t="s">
        <v>5</v>
      </c>
      <c r="K37" s="256" t="s">
        <v>702</v>
      </c>
      <c r="L37" s="113" t="s">
        <v>513</v>
      </c>
      <c r="M37" s="258" t="s">
        <v>686</v>
      </c>
      <c r="N37" s="209" t="s">
        <v>383</v>
      </c>
      <c r="O37" s="113"/>
      <c r="P37" s="350"/>
      <c r="Q37" s="350"/>
      <c r="R37" s="254" t="s">
        <v>663</v>
      </c>
      <c r="S37" s="436"/>
      <c r="T37" s="435"/>
      <c r="U37" s="115"/>
    </row>
    <row r="38" spans="1:21" ht="26" customHeight="1">
      <c r="A38" s="337" t="s">
        <v>987</v>
      </c>
      <c r="B38" s="345" t="s">
        <v>926</v>
      </c>
      <c r="C38" s="345" t="s">
        <v>1140</v>
      </c>
      <c r="D38" s="345" t="s">
        <v>1142</v>
      </c>
      <c r="E38" s="345" t="s">
        <v>1141</v>
      </c>
      <c r="F38" s="345" t="s">
        <v>988</v>
      </c>
      <c r="G38" s="200"/>
      <c r="H38" s="345" t="s">
        <v>469</v>
      </c>
      <c r="I38" s="345" t="s">
        <v>904</v>
      </c>
      <c r="J38" s="200" t="s">
        <v>4</v>
      </c>
      <c r="K38" s="201" t="s">
        <v>989</v>
      </c>
      <c r="L38" s="118" t="s">
        <v>991</v>
      </c>
      <c r="M38" s="215"/>
      <c r="N38" s="200"/>
      <c r="O38" s="109">
        <v>0.39</v>
      </c>
      <c r="P38" s="349" t="s">
        <v>1026</v>
      </c>
      <c r="Q38" s="349" t="s">
        <v>1114</v>
      </c>
      <c r="R38" s="229" t="s">
        <v>469</v>
      </c>
      <c r="S38" s="351" t="s">
        <v>993</v>
      </c>
      <c r="T38" s="355" t="s">
        <v>994</v>
      </c>
      <c r="U38" s="115"/>
    </row>
    <row r="39" spans="1:21" ht="29" customHeight="1" thickBot="1">
      <c r="A39" s="338"/>
      <c r="B39" s="346"/>
      <c r="C39" s="346"/>
      <c r="D39" s="346"/>
      <c r="E39" s="346"/>
      <c r="F39" s="346"/>
      <c r="G39" s="209"/>
      <c r="H39" s="346"/>
      <c r="I39" s="346"/>
      <c r="J39" s="209" t="s">
        <v>98</v>
      </c>
      <c r="K39" s="210" t="s">
        <v>990</v>
      </c>
      <c r="L39" s="211" t="s">
        <v>992</v>
      </c>
      <c r="M39" s="225"/>
      <c r="N39" s="209"/>
      <c r="O39" s="113">
        <v>0.87</v>
      </c>
      <c r="P39" s="350"/>
      <c r="Q39" s="350"/>
      <c r="R39" s="226" t="s">
        <v>469</v>
      </c>
      <c r="S39" s="352"/>
      <c r="T39" s="354"/>
      <c r="U39" s="115"/>
    </row>
    <row r="40" spans="1:21" ht="44" customHeight="1">
      <c r="A40" s="337" t="s">
        <v>1402</v>
      </c>
      <c r="B40" s="345" t="s">
        <v>1024</v>
      </c>
      <c r="C40" s="345" t="s">
        <v>1403</v>
      </c>
      <c r="D40" s="345" t="s">
        <v>1404</v>
      </c>
      <c r="E40" s="345" t="s">
        <v>1405</v>
      </c>
      <c r="F40" s="200"/>
      <c r="G40" s="200"/>
      <c r="H40" s="200"/>
      <c r="I40" s="200"/>
      <c r="J40" s="200" t="s">
        <v>4</v>
      </c>
      <c r="K40" s="201" t="s">
        <v>1407</v>
      </c>
      <c r="L40" s="118" t="s">
        <v>1406</v>
      </c>
      <c r="M40" s="215"/>
      <c r="N40" s="200"/>
      <c r="O40" s="109">
        <v>0</v>
      </c>
      <c r="P40" s="425" t="s">
        <v>1026</v>
      </c>
      <c r="Q40" s="349" t="s">
        <v>1114</v>
      </c>
      <c r="R40" s="229"/>
      <c r="S40" s="351" t="s">
        <v>1410</v>
      </c>
      <c r="T40" s="353" t="s">
        <v>1411</v>
      </c>
      <c r="U40" s="115"/>
    </row>
    <row r="41" spans="1:21" ht="33" customHeight="1" thickBot="1">
      <c r="A41" s="338"/>
      <c r="B41" s="346"/>
      <c r="C41" s="346"/>
      <c r="D41" s="346"/>
      <c r="E41" s="346"/>
      <c r="F41" s="209"/>
      <c r="G41" s="209"/>
      <c r="H41" s="209"/>
      <c r="I41" s="209"/>
      <c r="J41" s="225" t="s">
        <v>5</v>
      </c>
      <c r="K41" s="210" t="s">
        <v>1409</v>
      </c>
      <c r="L41" s="211" t="s">
        <v>1408</v>
      </c>
      <c r="M41" s="225"/>
      <c r="N41" s="209"/>
      <c r="O41" s="113">
        <v>1E-3</v>
      </c>
      <c r="P41" s="426"/>
      <c r="Q41" s="350"/>
      <c r="R41" s="226"/>
      <c r="S41" s="352"/>
      <c r="T41" s="354"/>
      <c r="U41" s="115"/>
    </row>
    <row r="42" spans="1:21" ht="51">
      <c r="A42" s="335" t="s">
        <v>270</v>
      </c>
      <c r="B42" s="345" t="s">
        <v>1028</v>
      </c>
      <c r="C42" s="345" t="s">
        <v>928</v>
      </c>
      <c r="D42" s="345" t="s">
        <v>1147</v>
      </c>
      <c r="E42" s="345" t="s">
        <v>1146</v>
      </c>
      <c r="F42" s="345" t="s">
        <v>922</v>
      </c>
      <c r="G42" s="230"/>
      <c r="H42" s="345" t="s">
        <v>482</v>
      </c>
      <c r="I42" s="345" t="s">
        <v>924</v>
      </c>
      <c r="J42" s="215" t="s">
        <v>97</v>
      </c>
      <c r="K42" s="247" t="s">
        <v>704</v>
      </c>
      <c r="L42" s="248" t="s">
        <v>707</v>
      </c>
      <c r="M42" s="257" t="s">
        <v>686</v>
      </c>
      <c r="N42" s="200" t="s">
        <v>373</v>
      </c>
      <c r="O42" s="118">
        <v>0.01</v>
      </c>
      <c r="P42" s="349" t="s">
        <v>1150</v>
      </c>
      <c r="Q42" s="349" t="s">
        <v>1114</v>
      </c>
      <c r="R42" s="253" t="s">
        <v>482</v>
      </c>
      <c r="S42" s="339" t="s">
        <v>923</v>
      </c>
      <c r="T42" s="433" t="s">
        <v>1020</v>
      </c>
      <c r="U42" s="115"/>
    </row>
    <row r="43" spans="1:21" ht="44" customHeight="1" thickBot="1">
      <c r="A43" s="449"/>
      <c r="B43" s="384"/>
      <c r="C43" s="384"/>
      <c r="D43" s="384"/>
      <c r="E43" s="384"/>
      <c r="F43" s="384"/>
      <c r="G43" s="231"/>
      <c r="H43" s="384"/>
      <c r="I43" s="384"/>
      <c r="J43" s="224" t="s">
        <v>5</v>
      </c>
      <c r="K43" s="249" t="s">
        <v>705</v>
      </c>
      <c r="L43" s="250" t="s">
        <v>709</v>
      </c>
      <c r="M43" s="28" t="s">
        <v>686</v>
      </c>
      <c r="N43" s="114" t="s">
        <v>383</v>
      </c>
      <c r="O43" s="116">
        <v>1</v>
      </c>
      <c r="P43" s="432"/>
      <c r="Q43" s="431"/>
      <c r="R43" s="255" t="s">
        <v>482</v>
      </c>
      <c r="S43" s="446"/>
      <c r="T43" s="434"/>
      <c r="U43" s="115"/>
    </row>
    <row r="44" spans="1:21" ht="44" customHeight="1">
      <c r="A44" s="337" t="s">
        <v>248</v>
      </c>
      <c r="B44" s="345" t="s">
        <v>1211</v>
      </c>
      <c r="C44" s="345" t="s">
        <v>1213</v>
      </c>
      <c r="D44" s="345" t="s">
        <v>1224</v>
      </c>
      <c r="E44" s="345" t="s">
        <v>1225</v>
      </c>
      <c r="F44" s="345" t="s">
        <v>907</v>
      </c>
      <c r="G44" s="345" t="s">
        <v>906</v>
      </c>
      <c r="H44" s="385" t="s">
        <v>469</v>
      </c>
      <c r="I44" s="385" t="s">
        <v>904</v>
      </c>
      <c r="J44" s="200" t="s">
        <v>2</v>
      </c>
      <c r="K44" s="232" t="s">
        <v>908</v>
      </c>
      <c r="L44" s="233" t="s">
        <v>1214</v>
      </c>
      <c r="M44" s="202"/>
      <c r="N44" s="200"/>
      <c r="O44" s="109" t="s">
        <v>1223</v>
      </c>
      <c r="P44" s="349" t="s">
        <v>956</v>
      </c>
      <c r="Q44" s="442" t="s">
        <v>1135</v>
      </c>
      <c r="R44" s="229" t="s">
        <v>469</v>
      </c>
      <c r="S44" s="351" t="s">
        <v>917</v>
      </c>
      <c r="T44" s="447" t="s">
        <v>903</v>
      </c>
      <c r="U44" s="115"/>
    </row>
    <row r="45" spans="1:21" ht="44" customHeight="1">
      <c r="A45" s="390"/>
      <c r="B45" s="384"/>
      <c r="C45" s="384"/>
      <c r="D45" s="384"/>
      <c r="E45" s="384"/>
      <c r="F45" s="384"/>
      <c r="G45" s="384"/>
      <c r="H45" s="386"/>
      <c r="I45" s="386"/>
      <c r="J45" s="114" t="s">
        <v>1</v>
      </c>
      <c r="K45" s="234" t="s">
        <v>909</v>
      </c>
      <c r="L45" s="235" t="s">
        <v>1215</v>
      </c>
      <c r="M45" s="206"/>
      <c r="N45" s="114"/>
      <c r="O45" s="112" t="s">
        <v>1223</v>
      </c>
      <c r="P45" s="431"/>
      <c r="Q45" s="443"/>
      <c r="R45" s="223" t="s">
        <v>469</v>
      </c>
      <c r="S45" s="388"/>
      <c r="T45" s="445"/>
      <c r="U45" s="115"/>
    </row>
    <row r="46" spans="1:21" ht="82" customHeight="1">
      <c r="A46" s="390"/>
      <c r="B46" s="384"/>
      <c r="C46" s="384"/>
      <c r="D46" s="384"/>
      <c r="E46" s="384"/>
      <c r="F46" s="384"/>
      <c r="G46" s="384"/>
      <c r="H46" s="386"/>
      <c r="I46" s="386"/>
      <c r="J46" s="114" t="s">
        <v>5</v>
      </c>
      <c r="K46" s="205" t="s">
        <v>910</v>
      </c>
      <c r="L46" s="235" t="s">
        <v>1216</v>
      </c>
      <c r="M46" s="206"/>
      <c r="N46" s="114"/>
      <c r="O46" s="112" t="s">
        <v>1223</v>
      </c>
      <c r="P46" s="431"/>
      <c r="Q46" s="443"/>
      <c r="R46" s="223" t="s">
        <v>469</v>
      </c>
      <c r="S46" s="388"/>
      <c r="T46" s="445"/>
      <c r="U46" s="115"/>
    </row>
    <row r="47" spans="1:21" ht="44" customHeight="1">
      <c r="A47" s="390"/>
      <c r="B47" s="384"/>
      <c r="C47" s="384"/>
      <c r="D47" s="384"/>
      <c r="E47" s="384"/>
      <c r="F47" s="384"/>
      <c r="G47" s="384"/>
      <c r="H47" s="386"/>
      <c r="I47" s="386"/>
      <c r="J47" s="114" t="s">
        <v>3</v>
      </c>
      <c r="K47" s="234" t="s">
        <v>911</v>
      </c>
      <c r="L47" s="235" t="s">
        <v>1217</v>
      </c>
      <c r="M47" s="206"/>
      <c r="N47" s="114"/>
      <c r="O47" s="112" t="s">
        <v>1223</v>
      </c>
      <c r="P47" s="431"/>
      <c r="Q47" s="443"/>
      <c r="R47" s="223" t="s">
        <v>469</v>
      </c>
      <c r="S47" s="388"/>
      <c r="T47" s="445"/>
      <c r="U47" s="115"/>
    </row>
    <row r="48" spans="1:21" ht="38" customHeight="1">
      <c r="A48" s="390"/>
      <c r="B48" s="384"/>
      <c r="C48" s="384"/>
      <c r="D48" s="384"/>
      <c r="E48" s="384"/>
      <c r="F48" s="384"/>
      <c r="G48" s="384"/>
      <c r="H48" s="386"/>
      <c r="I48" s="386"/>
      <c r="J48" s="114" t="s">
        <v>117</v>
      </c>
      <c r="K48" s="234" t="s">
        <v>912</v>
      </c>
      <c r="L48" s="235" t="s">
        <v>1218</v>
      </c>
      <c r="M48" s="206"/>
      <c r="N48" s="114"/>
      <c r="O48" s="112" t="s">
        <v>1223</v>
      </c>
      <c r="P48" s="431"/>
      <c r="Q48" s="443"/>
      <c r="R48" s="223" t="s">
        <v>469</v>
      </c>
      <c r="S48" s="388"/>
      <c r="T48" s="445"/>
      <c r="U48" s="115"/>
    </row>
    <row r="49" spans="1:21" ht="39" customHeight="1">
      <c r="A49" s="390"/>
      <c r="B49" s="384"/>
      <c r="C49" s="384"/>
      <c r="D49" s="384"/>
      <c r="E49" s="384"/>
      <c r="F49" s="384"/>
      <c r="G49" s="384"/>
      <c r="H49" s="386"/>
      <c r="I49" s="386"/>
      <c r="J49" s="114" t="s">
        <v>4</v>
      </c>
      <c r="K49" s="234" t="s">
        <v>913</v>
      </c>
      <c r="L49" s="235" t="s">
        <v>1219</v>
      </c>
      <c r="M49" s="206"/>
      <c r="N49" s="114"/>
      <c r="O49" s="112" t="s">
        <v>1223</v>
      </c>
      <c r="P49" s="431"/>
      <c r="Q49" s="443"/>
      <c r="R49" s="223" t="s">
        <v>469</v>
      </c>
      <c r="S49" s="388"/>
      <c r="T49" s="445"/>
      <c r="U49" s="115"/>
    </row>
    <row r="50" spans="1:21" ht="17">
      <c r="A50" s="390"/>
      <c r="B50" s="384"/>
      <c r="C50" s="384"/>
      <c r="D50" s="384"/>
      <c r="E50" s="384"/>
      <c r="F50" s="384"/>
      <c r="G50" s="384"/>
      <c r="H50" s="386"/>
      <c r="I50" s="386"/>
      <c r="J50" s="114" t="s">
        <v>98</v>
      </c>
      <c r="K50" s="234" t="s">
        <v>914</v>
      </c>
      <c r="L50" s="235" t="s">
        <v>1220</v>
      </c>
      <c r="M50" s="206"/>
      <c r="N50" s="114"/>
      <c r="O50" s="112" t="s">
        <v>1223</v>
      </c>
      <c r="P50" s="431"/>
      <c r="Q50" s="443"/>
      <c r="R50" s="223" t="s">
        <v>469</v>
      </c>
      <c r="S50" s="388"/>
      <c r="T50" s="445"/>
      <c r="U50" s="115"/>
    </row>
    <row r="51" spans="1:21" ht="17">
      <c r="A51" s="390"/>
      <c r="B51" s="384"/>
      <c r="C51" s="384"/>
      <c r="D51" s="384"/>
      <c r="E51" s="384"/>
      <c r="F51" s="384"/>
      <c r="G51" s="384"/>
      <c r="H51" s="386"/>
      <c r="I51" s="386"/>
      <c r="J51" s="114" t="s">
        <v>251</v>
      </c>
      <c r="K51" s="234" t="s">
        <v>915</v>
      </c>
      <c r="L51" s="235" t="s">
        <v>1221</v>
      </c>
      <c r="M51" s="206"/>
      <c r="N51" s="114"/>
      <c r="O51" s="112" t="s">
        <v>1223</v>
      </c>
      <c r="P51" s="431"/>
      <c r="Q51" s="443"/>
      <c r="R51" s="223" t="s">
        <v>469</v>
      </c>
      <c r="S51" s="388"/>
      <c r="T51" s="445"/>
      <c r="U51" s="115"/>
    </row>
    <row r="52" spans="1:21" ht="18" thickBot="1">
      <c r="A52" s="338"/>
      <c r="B52" s="346"/>
      <c r="C52" s="346"/>
      <c r="D52" s="346"/>
      <c r="E52" s="346"/>
      <c r="F52" s="346"/>
      <c r="G52" s="346"/>
      <c r="H52" s="387"/>
      <c r="I52" s="387"/>
      <c r="J52" s="209" t="s">
        <v>97</v>
      </c>
      <c r="K52" s="236" t="s">
        <v>916</v>
      </c>
      <c r="L52" s="237" t="s">
        <v>1222</v>
      </c>
      <c r="M52" s="212"/>
      <c r="N52" s="209"/>
      <c r="O52" s="113" t="s">
        <v>1223</v>
      </c>
      <c r="P52" s="350"/>
      <c r="Q52" s="444"/>
      <c r="R52" s="226" t="s">
        <v>469</v>
      </c>
      <c r="S52" s="352"/>
      <c r="T52" s="448"/>
      <c r="U52" s="115"/>
    </row>
    <row r="53" spans="1:21" ht="43" customHeight="1">
      <c r="A53" s="335" t="s">
        <v>1391</v>
      </c>
      <c r="B53" s="345" t="s">
        <v>1394</v>
      </c>
      <c r="C53" s="345" t="s">
        <v>1395</v>
      </c>
      <c r="D53" s="345" t="s">
        <v>1396</v>
      </c>
      <c r="E53" s="345" t="s">
        <v>1397</v>
      </c>
      <c r="F53" s="200"/>
      <c r="G53" s="230"/>
      <c r="H53" s="200"/>
      <c r="I53" s="200"/>
      <c r="J53" s="215" t="s">
        <v>443</v>
      </c>
      <c r="K53" s="247" t="s">
        <v>1399</v>
      </c>
      <c r="L53" s="248" t="s">
        <v>1398</v>
      </c>
      <c r="M53" s="257"/>
      <c r="N53" s="200"/>
      <c r="O53" s="118" t="s">
        <v>195</v>
      </c>
      <c r="P53" s="425" t="s">
        <v>1026</v>
      </c>
      <c r="Q53" s="349" t="s">
        <v>1114</v>
      </c>
      <c r="R53" s="253"/>
      <c r="S53" s="339" t="s">
        <v>1392</v>
      </c>
      <c r="T53" s="341" t="s">
        <v>1393</v>
      </c>
      <c r="U53" s="115"/>
    </row>
    <row r="54" spans="1:21" ht="17" customHeight="1" thickBot="1">
      <c r="A54" s="336"/>
      <c r="B54" s="346"/>
      <c r="C54" s="346"/>
      <c r="D54" s="346"/>
      <c r="E54" s="346"/>
      <c r="F54" s="209"/>
      <c r="G54" s="238"/>
      <c r="H54" s="209"/>
      <c r="I54" s="209"/>
      <c r="J54" s="225" t="s">
        <v>5</v>
      </c>
      <c r="K54" s="256" t="s">
        <v>1401</v>
      </c>
      <c r="L54" s="252" t="s">
        <v>1400</v>
      </c>
      <c r="M54" s="258"/>
      <c r="N54" s="209"/>
      <c r="O54" s="211" t="s">
        <v>195</v>
      </c>
      <c r="P54" s="426"/>
      <c r="Q54" s="350"/>
      <c r="R54" s="254"/>
      <c r="S54" s="340"/>
      <c r="T54" s="342"/>
      <c r="U54" s="115"/>
    </row>
    <row r="55" spans="1:21" ht="69" thickBot="1">
      <c r="A55" s="239" t="s">
        <v>1412</v>
      </c>
      <c r="B55" s="216" t="s">
        <v>1024</v>
      </c>
      <c r="C55" s="216" t="s">
        <v>1418</v>
      </c>
      <c r="D55" s="216" t="s">
        <v>1420</v>
      </c>
      <c r="E55" s="216" t="s">
        <v>1419</v>
      </c>
      <c r="F55" s="216"/>
      <c r="G55" s="240"/>
      <c r="H55" s="240"/>
      <c r="I55" s="216" t="s">
        <v>5</v>
      </c>
      <c r="J55" s="225" t="s">
        <v>5</v>
      </c>
      <c r="K55" s="239" t="s">
        <v>1415</v>
      </c>
      <c r="L55" s="216" t="s">
        <v>1416</v>
      </c>
      <c r="M55" s="216"/>
      <c r="N55" s="217"/>
      <c r="O55" s="219" t="s">
        <v>195</v>
      </c>
      <c r="P55" s="241" t="s">
        <v>1026</v>
      </c>
      <c r="Q55" s="219" t="s">
        <v>1114</v>
      </c>
      <c r="R55" s="220" t="s">
        <v>1413</v>
      </c>
      <c r="S55" s="220" t="s">
        <v>1413</v>
      </c>
      <c r="T55" s="217" t="s">
        <v>1414</v>
      </c>
      <c r="U55" s="115"/>
    </row>
    <row r="56" spans="1:21" ht="21" customHeight="1">
      <c r="A56" s="337" t="s">
        <v>957</v>
      </c>
      <c r="B56" s="345" t="s">
        <v>1024</v>
      </c>
      <c r="C56" s="345" t="s">
        <v>958</v>
      </c>
      <c r="D56" s="345" t="s">
        <v>1151</v>
      </c>
      <c r="E56" s="345" t="s">
        <v>1152</v>
      </c>
      <c r="F56" s="345" t="s">
        <v>959</v>
      </c>
      <c r="G56" s="200"/>
      <c r="H56" s="345" t="s">
        <v>664</v>
      </c>
      <c r="I56" s="345" t="s">
        <v>939</v>
      </c>
      <c r="J56" s="200" t="s">
        <v>443</v>
      </c>
      <c r="K56" s="232" t="s">
        <v>963</v>
      </c>
      <c r="L56" s="233" t="s">
        <v>972</v>
      </c>
      <c r="M56" s="202"/>
      <c r="N56" s="200"/>
      <c r="O56" s="109">
        <v>1E-3</v>
      </c>
      <c r="P56" s="349" t="s">
        <v>1149</v>
      </c>
      <c r="Q56" s="349" t="s">
        <v>1135</v>
      </c>
      <c r="R56" s="229" t="s">
        <v>664</v>
      </c>
      <c r="S56" s="351" t="s">
        <v>956</v>
      </c>
      <c r="T56" s="341" t="s">
        <v>1022</v>
      </c>
      <c r="U56" s="115"/>
    </row>
    <row r="57" spans="1:21" ht="30" customHeight="1">
      <c r="A57" s="390"/>
      <c r="B57" s="384"/>
      <c r="C57" s="384"/>
      <c r="D57" s="384"/>
      <c r="E57" s="384"/>
      <c r="F57" s="384"/>
      <c r="G57" s="114"/>
      <c r="H57" s="384"/>
      <c r="I57" s="384"/>
      <c r="J57" s="114" t="s">
        <v>2</v>
      </c>
      <c r="K57" s="234" t="s">
        <v>964</v>
      </c>
      <c r="L57" s="235" t="s">
        <v>973</v>
      </c>
      <c r="M57" s="206"/>
      <c r="N57" s="114"/>
      <c r="O57" s="112" t="s">
        <v>195</v>
      </c>
      <c r="P57" s="431"/>
      <c r="Q57" s="431"/>
      <c r="R57" s="223" t="s">
        <v>664</v>
      </c>
      <c r="S57" s="388"/>
      <c r="T57" s="440"/>
      <c r="U57" s="115"/>
    </row>
    <row r="58" spans="1:21" ht="17">
      <c r="A58" s="390"/>
      <c r="B58" s="384"/>
      <c r="C58" s="384"/>
      <c r="D58" s="384"/>
      <c r="E58" s="384"/>
      <c r="F58" s="384"/>
      <c r="G58" s="114"/>
      <c r="H58" s="384"/>
      <c r="I58" s="384"/>
      <c r="J58" s="114" t="s">
        <v>3</v>
      </c>
      <c r="K58" s="234" t="s">
        <v>965</v>
      </c>
      <c r="L58" s="235" t="s">
        <v>974</v>
      </c>
      <c r="M58" s="206"/>
      <c r="N58" s="114"/>
      <c r="O58" s="112">
        <v>0.55300000000000005</v>
      </c>
      <c r="P58" s="431"/>
      <c r="Q58" s="431"/>
      <c r="R58" s="223" t="s">
        <v>664</v>
      </c>
      <c r="S58" s="388"/>
      <c r="T58" s="440"/>
      <c r="U58" s="115"/>
    </row>
    <row r="59" spans="1:21" ht="17">
      <c r="A59" s="390"/>
      <c r="B59" s="384"/>
      <c r="C59" s="384"/>
      <c r="D59" s="384"/>
      <c r="E59" s="384"/>
      <c r="F59" s="384"/>
      <c r="G59" s="114"/>
      <c r="H59" s="384"/>
      <c r="I59" s="384"/>
      <c r="J59" s="114" t="s">
        <v>117</v>
      </c>
      <c r="K59" s="234" t="s">
        <v>966</v>
      </c>
      <c r="L59" s="235" t="s">
        <v>975</v>
      </c>
      <c r="M59" s="206"/>
      <c r="N59" s="114"/>
      <c r="O59" s="112" t="s">
        <v>195</v>
      </c>
      <c r="P59" s="431"/>
      <c r="Q59" s="431"/>
      <c r="R59" s="223" t="s">
        <v>664</v>
      </c>
      <c r="S59" s="388"/>
      <c r="T59" s="440"/>
      <c r="U59" s="115"/>
    </row>
    <row r="60" spans="1:21" ht="17">
      <c r="A60" s="390"/>
      <c r="B60" s="384"/>
      <c r="C60" s="384"/>
      <c r="D60" s="384"/>
      <c r="E60" s="384"/>
      <c r="F60" s="384"/>
      <c r="G60" s="114"/>
      <c r="H60" s="384"/>
      <c r="I60" s="384"/>
      <c r="J60" s="114" t="s">
        <v>4</v>
      </c>
      <c r="K60" s="234" t="s">
        <v>1153</v>
      </c>
      <c r="L60" s="242" t="s">
        <v>1154</v>
      </c>
      <c r="M60" s="206"/>
      <c r="N60" s="114"/>
      <c r="O60" s="112" t="s">
        <v>195</v>
      </c>
      <c r="P60" s="431"/>
      <c r="Q60" s="431"/>
      <c r="R60" s="223"/>
      <c r="S60" s="388"/>
      <c r="T60" s="440"/>
      <c r="U60" s="115"/>
    </row>
    <row r="61" spans="1:21" ht="17">
      <c r="A61" s="390"/>
      <c r="B61" s="384"/>
      <c r="C61" s="384"/>
      <c r="D61" s="384"/>
      <c r="E61" s="384"/>
      <c r="F61" s="384"/>
      <c r="G61" s="114"/>
      <c r="H61" s="384"/>
      <c r="I61" s="384"/>
      <c r="J61" s="114" t="s">
        <v>97</v>
      </c>
      <c r="K61" s="234" t="s">
        <v>967</v>
      </c>
      <c r="L61" s="235" t="s">
        <v>976</v>
      </c>
      <c r="M61" s="206"/>
      <c r="N61" s="114"/>
      <c r="O61" s="112">
        <v>0.123</v>
      </c>
      <c r="P61" s="431"/>
      <c r="Q61" s="431"/>
      <c r="R61" s="223" t="s">
        <v>664</v>
      </c>
      <c r="S61" s="388"/>
      <c r="T61" s="392"/>
      <c r="U61" s="115"/>
    </row>
    <row r="62" spans="1:21" ht="17">
      <c r="A62" s="390"/>
      <c r="B62" s="384"/>
      <c r="C62" s="384"/>
      <c r="D62" s="384"/>
      <c r="E62" s="384"/>
      <c r="F62" s="384"/>
      <c r="G62" s="114"/>
      <c r="H62" s="384"/>
      <c r="I62" s="384"/>
      <c r="J62" s="114" t="s">
        <v>98</v>
      </c>
      <c r="K62" s="234" t="s">
        <v>961</v>
      </c>
      <c r="L62" s="235" t="s">
        <v>970</v>
      </c>
      <c r="M62" s="206"/>
      <c r="N62" s="114"/>
      <c r="O62" s="112" t="s">
        <v>1155</v>
      </c>
      <c r="P62" s="431"/>
      <c r="Q62" s="431"/>
      <c r="R62" s="223" t="s">
        <v>664</v>
      </c>
      <c r="S62" s="388"/>
      <c r="T62" s="392"/>
      <c r="U62" s="115"/>
    </row>
    <row r="63" spans="1:21" ht="17">
      <c r="A63" s="390"/>
      <c r="B63" s="384"/>
      <c r="C63" s="384"/>
      <c r="D63" s="384"/>
      <c r="E63" s="384"/>
      <c r="F63" s="384"/>
      <c r="G63" s="114"/>
      <c r="H63" s="384"/>
      <c r="I63" s="384"/>
      <c r="J63" s="114" t="s">
        <v>121</v>
      </c>
      <c r="K63" s="234" t="s">
        <v>962</v>
      </c>
      <c r="L63" s="235" t="s">
        <v>971</v>
      </c>
      <c r="M63" s="206"/>
      <c r="N63" s="114"/>
      <c r="O63" s="112">
        <v>1.2999999999999999E-2</v>
      </c>
      <c r="P63" s="431"/>
      <c r="Q63" s="431"/>
      <c r="R63" s="223" t="s">
        <v>664</v>
      </c>
      <c r="S63" s="388"/>
      <c r="T63" s="392"/>
    </row>
    <row r="64" spans="1:21" ht="17">
      <c r="A64" s="390"/>
      <c r="B64" s="384"/>
      <c r="C64" s="384"/>
      <c r="D64" s="384"/>
      <c r="E64" s="384"/>
      <c r="F64" s="384"/>
      <c r="G64" s="114"/>
      <c r="H64" s="384"/>
      <c r="I64" s="384"/>
      <c r="J64" s="114" t="s">
        <v>1</v>
      </c>
      <c r="K64" s="205" t="s">
        <v>960</v>
      </c>
      <c r="L64" s="116" t="s">
        <v>969</v>
      </c>
      <c r="M64" s="206"/>
      <c r="N64" s="114"/>
      <c r="O64" s="112" t="s">
        <v>195</v>
      </c>
      <c r="P64" s="431"/>
      <c r="Q64" s="431"/>
      <c r="R64" s="223" t="s">
        <v>664</v>
      </c>
      <c r="S64" s="388"/>
      <c r="T64" s="392"/>
    </row>
    <row r="65" spans="1:20" ht="18" thickBot="1">
      <c r="A65" s="338"/>
      <c r="B65" s="346"/>
      <c r="C65" s="346"/>
      <c r="D65" s="346"/>
      <c r="E65" s="346"/>
      <c r="F65" s="346"/>
      <c r="G65" s="209"/>
      <c r="H65" s="346"/>
      <c r="I65" s="346"/>
      <c r="J65" s="209" t="s">
        <v>5</v>
      </c>
      <c r="K65" s="236" t="s">
        <v>968</v>
      </c>
      <c r="L65" s="237" t="s">
        <v>977</v>
      </c>
      <c r="M65" s="212"/>
      <c r="N65" s="209"/>
      <c r="O65" s="113">
        <v>2E-3</v>
      </c>
      <c r="P65" s="350"/>
      <c r="Q65" s="350"/>
      <c r="R65" s="226" t="s">
        <v>664</v>
      </c>
      <c r="S65" s="352"/>
      <c r="T65" s="393"/>
    </row>
    <row r="66" spans="1:20" ht="34" customHeight="1">
      <c r="A66" s="337" t="s">
        <v>116</v>
      </c>
      <c r="B66" s="345" t="s">
        <v>1025</v>
      </c>
      <c r="C66" s="345" t="s">
        <v>929</v>
      </c>
      <c r="D66" s="345" t="s">
        <v>1162</v>
      </c>
      <c r="E66" s="345" t="s">
        <v>1163</v>
      </c>
      <c r="F66" s="345" t="s">
        <v>902</v>
      </c>
      <c r="G66" s="231" t="s">
        <v>901</v>
      </c>
      <c r="H66" s="345" t="s">
        <v>900</v>
      </c>
      <c r="I66" s="345" t="s">
        <v>939</v>
      </c>
      <c r="J66" s="114" t="s">
        <v>443</v>
      </c>
      <c r="K66" s="205" t="s">
        <v>711</v>
      </c>
      <c r="L66" s="116" t="s">
        <v>712</v>
      </c>
      <c r="M66" s="206" t="s">
        <v>675</v>
      </c>
      <c r="N66" s="114" t="s">
        <v>444</v>
      </c>
      <c r="O66" s="112">
        <v>4.0000000000000001E-3</v>
      </c>
      <c r="P66" s="431" t="s">
        <v>1161</v>
      </c>
      <c r="Q66" s="349" t="s">
        <v>1114</v>
      </c>
      <c r="R66" s="223" t="s">
        <v>664</v>
      </c>
      <c r="S66" s="388" t="s">
        <v>899</v>
      </c>
      <c r="T66" s="445" t="s">
        <v>1021</v>
      </c>
    </row>
    <row r="67" spans="1:20" ht="51">
      <c r="A67" s="390"/>
      <c r="B67" s="384"/>
      <c r="C67" s="384"/>
      <c r="D67" s="384"/>
      <c r="E67" s="384"/>
      <c r="F67" s="384"/>
      <c r="G67" s="231"/>
      <c r="H67" s="384"/>
      <c r="I67" s="384"/>
      <c r="J67" s="114" t="s">
        <v>2</v>
      </c>
      <c r="K67" s="205" t="s">
        <v>713</v>
      </c>
      <c r="L67" s="116" t="s">
        <v>714</v>
      </c>
      <c r="M67" s="206" t="s">
        <v>675</v>
      </c>
      <c r="N67" s="114" t="s">
        <v>378</v>
      </c>
      <c r="O67" s="112" t="s">
        <v>195</v>
      </c>
      <c r="P67" s="431"/>
      <c r="Q67" s="431"/>
      <c r="R67" s="223" t="s">
        <v>664</v>
      </c>
      <c r="S67" s="388"/>
      <c r="T67" s="392"/>
    </row>
    <row r="68" spans="1:20" ht="51">
      <c r="A68" s="390"/>
      <c r="B68" s="384"/>
      <c r="C68" s="384"/>
      <c r="D68" s="384"/>
      <c r="E68" s="384"/>
      <c r="F68" s="384"/>
      <c r="G68" s="231"/>
      <c r="H68" s="384"/>
      <c r="I68" s="384"/>
      <c r="J68" s="114" t="s">
        <v>3</v>
      </c>
      <c r="K68" s="205" t="s">
        <v>715</v>
      </c>
      <c r="L68" s="116" t="s">
        <v>140</v>
      </c>
      <c r="M68" s="206" t="s">
        <v>675</v>
      </c>
      <c r="N68" s="114" t="s">
        <v>400</v>
      </c>
      <c r="O68" s="112" t="s">
        <v>195</v>
      </c>
      <c r="P68" s="431"/>
      <c r="Q68" s="431"/>
      <c r="R68" s="223" t="s">
        <v>664</v>
      </c>
      <c r="S68" s="388"/>
      <c r="T68" s="392"/>
    </row>
    <row r="69" spans="1:20" ht="51">
      <c r="A69" s="390"/>
      <c r="B69" s="384"/>
      <c r="C69" s="384"/>
      <c r="D69" s="384"/>
      <c r="E69" s="384"/>
      <c r="F69" s="384"/>
      <c r="G69" s="231"/>
      <c r="H69" s="384"/>
      <c r="I69" s="384"/>
      <c r="J69" s="114" t="s">
        <v>117</v>
      </c>
      <c r="K69" s="205" t="s">
        <v>716</v>
      </c>
      <c r="L69" s="116" t="s">
        <v>717</v>
      </c>
      <c r="M69" s="206" t="s">
        <v>686</v>
      </c>
      <c r="N69" s="114" t="s">
        <v>401</v>
      </c>
      <c r="O69" s="112" t="s">
        <v>195</v>
      </c>
      <c r="P69" s="431"/>
      <c r="Q69" s="431"/>
      <c r="R69" s="223" t="s">
        <v>664</v>
      </c>
      <c r="S69" s="388"/>
      <c r="T69" s="392"/>
    </row>
    <row r="70" spans="1:20" ht="51">
      <c r="A70" s="390"/>
      <c r="B70" s="384"/>
      <c r="C70" s="384"/>
      <c r="D70" s="384"/>
      <c r="E70" s="384"/>
      <c r="F70" s="384"/>
      <c r="G70" s="231"/>
      <c r="H70" s="384"/>
      <c r="I70" s="384"/>
      <c r="J70" s="114" t="s">
        <v>4</v>
      </c>
      <c r="K70" s="205" t="s">
        <v>718</v>
      </c>
      <c r="L70" s="116" t="s">
        <v>142</v>
      </c>
      <c r="M70" s="206" t="s">
        <v>675</v>
      </c>
      <c r="N70" s="114" t="s">
        <v>374</v>
      </c>
      <c r="O70" s="112" t="s">
        <v>195</v>
      </c>
      <c r="P70" s="431"/>
      <c r="Q70" s="431"/>
      <c r="R70" s="223" t="s">
        <v>664</v>
      </c>
      <c r="S70" s="388"/>
      <c r="T70" s="392"/>
    </row>
    <row r="71" spans="1:20" ht="43" customHeight="1">
      <c r="A71" s="390"/>
      <c r="B71" s="384"/>
      <c r="C71" s="384"/>
      <c r="D71" s="384"/>
      <c r="E71" s="384"/>
      <c r="F71" s="384"/>
      <c r="G71" s="231"/>
      <c r="H71" s="384"/>
      <c r="I71" s="384"/>
      <c r="J71" s="114" t="s">
        <v>97</v>
      </c>
      <c r="K71" s="205" t="s">
        <v>719</v>
      </c>
      <c r="L71" s="116" t="s">
        <v>720</v>
      </c>
      <c r="M71" s="206" t="s">
        <v>675</v>
      </c>
      <c r="N71" s="114" t="s">
        <v>445</v>
      </c>
      <c r="O71" s="112" t="s">
        <v>195</v>
      </c>
      <c r="P71" s="431"/>
      <c r="Q71" s="431"/>
      <c r="R71" s="223" t="s">
        <v>664</v>
      </c>
      <c r="S71" s="388"/>
      <c r="T71" s="392"/>
    </row>
    <row r="72" spans="1:20" ht="68">
      <c r="A72" s="390"/>
      <c r="B72" s="384"/>
      <c r="C72" s="384"/>
      <c r="D72" s="384"/>
      <c r="E72" s="384"/>
      <c r="F72" s="384"/>
      <c r="G72" s="231"/>
      <c r="H72" s="384"/>
      <c r="I72" s="384"/>
      <c r="J72" s="114" t="s">
        <v>98</v>
      </c>
      <c r="K72" s="205" t="s">
        <v>721</v>
      </c>
      <c r="L72" s="116" t="s">
        <v>144</v>
      </c>
      <c r="M72" s="206" t="s">
        <v>675</v>
      </c>
      <c r="N72" s="114" t="s">
        <v>432</v>
      </c>
      <c r="O72" s="112">
        <v>8.9999999999999993E-3</v>
      </c>
      <c r="P72" s="431"/>
      <c r="Q72" s="431"/>
      <c r="R72" s="223" t="s">
        <v>664</v>
      </c>
      <c r="S72" s="388"/>
      <c r="T72" s="392"/>
    </row>
    <row r="73" spans="1:20" ht="68">
      <c r="A73" s="390"/>
      <c r="B73" s="384"/>
      <c r="C73" s="384"/>
      <c r="D73" s="384"/>
      <c r="E73" s="384"/>
      <c r="F73" s="384"/>
      <c r="G73" s="231"/>
      <c r="H73" s="384"/>
      <c r="I73" s="384"/>
      <c r="J73" s="114" t="s">
        <v>121</v>
      </c>
      <c r="K73" s="205" t="s">
        <v>723</v>
      </c>
      <c r="L73" s="116" t="s">
        <v>147</v>
      </c>
      <c r="M73" s="206" t="s">
        <v>675</v>
      </c>
      <c r="N73" s="114" t="s">
        <v>448</v>
      </c>
      <c r="O73" s="112">
        <v>1E-3</v>
      </c>
      <c r="P73" s="431"/>
      <c r="Q73" s="431"/>
      <c r="R73" s="223" t="s">
        <v>664</v>
      </c>
      <c r="S73" s="388"/>
      <c r="T73" s="392"/>
    </row>
    <row r="74" spans="1:20" ht="86" thickBot="1">
      <c r="A74" s="338"/>
      <c r="B74" s="346"/>
      <c r="C74" s="346"/>
      <c r="D74" s="346"/>
      <c r="E74" s="346"/>
      <c r="F74" s="346"/>
      <c r="G74" s="231"/>
      <c r="H74" s="346"/>
      <c r="I74" s="346"/>
      <c r="J74" s="114" t="s">
        <v>5</v>
      </c>
      <c r="K74" s="205" t="s">
        <v>726</v>
      </c>
      <c r="L74" s="116" t="s">
        <v>156</v>
      </c>
      <c r="M74" s="206" t="s">
        <v>675</v>
      </c>
      <c r="N74" s="114" t="s">
        <v>386</v>
      </c>
      <c r="O74" s="112" t="s">
        <v>195</v>
      </c>
      <c r="P74" s="431"/>
      <c r="Q74" s="350"/>
      <c r="R74" s="223" t="s">
        <v>664</v>
      </c>
      <c r="S74" s="388"/>
      <c r="T74" s="392"/>
    </row>
    <row r="75" spans="1:20" ht="17">
      <c r="A75" s="337" t="s">
        <v>940</v>
      </c>
      <c r="B75" s="345" t="s">
        <v>1025</v>
      </c>
      <c r="C75" s="345" t="s">
        <v>1454</v>
      </c>
      <c r="D75" s="345" t="s">
        <v>1168</v>
      </c>
      <c r="E75" s="345" t="s">
        <v>1169</v>
      </c>
      <c r="F75" s="345" t="s">
        <v>941</v>
      </c>
      <c r="G75" s="200"/>
      <c r="H75" s="345" t="s">
        <v>663</v>
      </c>
      <c r="I75" s="345" t="s">
        <v>939</v>
      </c>
      <c r="J75" s="200" t="s">
        <v>443</v>
      </c>
      <c r="K75" s="201" t="s">
        <v>942</v>
      </c>
      <c r="L75" s="118" t="s">
        <v>945</v>
      </c>
      <c r="M75" s="202"/>
      <c r="N75" s="200"/>
      <c r="O75" s="109">
        <v>5.7000000000000002E-2</v>
      </c>
      <c r="P75" s="349" t="s">
        <v>1167</v>
      </c>
      <c r="Q75" s="349" t="s">
        <v>1114</v>
      </c>
      <c r="R75" s="229" t="s">
        <v>663</v>
      </c>
      <c r="S75" s="351" t="s">
        <v>954</v>
      </c>
      <c r="T75" s="341" t="s">
        <v>955</v>
      </c>
    </row>
    <row r="76" spans="1:20" ht="17">
      <c r="A76" s="390"/>
      <c r="B76" s="384"/>
      <c r="C76" s="384"/>
      <c r="D76" s="384"/>
      <c r="E76" s="384"/>
      <c r="F76" s="384"/>
      <c r="G76" s="114"/>
      <c r="H76" s="384"/>
      <c r="I76" s="384"/>
      <c r="J76" s="114" t="s">
        <v>2</v>
      </c>
      <c r="K76" s="205" t="s">
        <v>1170</v>
      </c>
      <c r="L76" s="116" t="s">
        <v>1171</v>
      </c>
      <c r="M76" s="206"/>
      <c r="N76" s="114"/>
      <c r="O76" s="112" t="s">
        <v>195</v>
      </c>
      <c r="P76" s="431"/>
      <c r="Q76" s="431"/>
      <c r="R76" s="223"/>
      <c r="S76" s="388"/>
      <c r="T76" s="440"/>
    </row>
    <row r="77" spans="1:20" ht="17">
      <c r="A77" s="390"/>
      <c r="B77" s="384"/>
      <c r="C77" s="384"/>
      <c r="D77" s="384"/>
      <c r="E77" s="384"/>
      <c r="F77" s="384"/>
      <c r="G77" s="114"/>
      <c r="H77" s="384"/>
      <c r="I77" s="384"/>
      <c r="J77" s="114" t="s">
        <v>97</v>
      </c>
      <c r="K77" s="205" t="s">
        <v>1172</v>
      </c>
      <c r="L77" s="116" t="s">
        <v>1173</v>
      </c>
      <c r="M77" s="206"/>
      <c r="N77" s="114"/>
      <c r="O77" s="112" t="s">
        <v>195</v>
      </c>
      <c r="P77" s="431"/>
      <c r="Q77" s="431"/>
      <c r="R77" s="223"/>
      <c r="S77" s="388"/>
      <c r="T77" s="440"/>
    </row>
    <row r="78" spans="1:20" ht="17">
      <c r="A78" s="390"/>
      <c r="B78" s="384"/>
      <c r="C78" s="384"/>
      <c r="D78" s="384"/>
      <c r="E78" s="384"/>
      <c r="F78" s="384"/>
      <c r="G78" s="114"/>
      <c r="H78" s="384"/>
      <c r="I78" s="384"/>
      <c r="J78" s="114" t="s">
        <v>5</v>
      </c>
      <c r="K78" s="205" t="s">
        <v>943</v>
      </c>
      <c r="L78" s="116" t="s">
        <v>946</v>
      </c>
      <c r="M78" s="206"/>
      <c r="N78" s="114"/>
      <c r="O78" s="112">
        <v>8.0000000000000002E-3</v>
      </c>
      <c r="P78" s="431"/>
      <c r="Q78" s="431"/>
      <c r="R78" s="223" t="s">
        <v>663</v>
      </c>
      <c r="S78" s="388"/>
      <c r="T78" s="392"/>
    </row>
    <row r="79" spans="1:20" ht="18" thickBot="1">
      <c r="A79" s="338"/>
      <c r="B79" s="346"/>
      <c r="C79" s="346"/>
      <c r="D79" s="346"/>
      <c r="E79" s="346"/>
      <c r="F79" s="346"/>
      <c r="G79" s="209"/>
      <c r="H79" s="346"/>
      <c r="I79" s="346"/>
      <c r="J79" s="209" t="s">
        <v>1</v>
      </c>
      <c r="K79" s="210" t="s">
        <v>944</v>
      </c>
      <c r="L79" s="211" t="s">
        <v>947</v>
      </c>
      <c r="M79" s="212"/>
      <c r="N79" s="209"/>
      <c r="O79" s="113" t="s">
        <v>195</v>
      </c>
      <c r="P79" s="350"/>
      <c r="Q79" s="350"/>
      <c r="R79" s="226" t="s">
        <v>663</v>
      </c>
      <c r="S79" s="352"/>
      <c r="T79" s="393"/>
    </row>
    <row r="80" spans="1:20" ht="17">
      <c r="A80" s="337" t="s">
        <v>995</v>
      </c>
      <c r="B80" s="345" t="s">
        <v>1024</v>
      </c>
      <c r="C80" s="345" t="s">
        <v>996</v>
      </c>
      <c r="D80" s="345" t="s">
        <v>1178</v>
      </c>
      <c r="E80" s="345" t="s">
        <v>1179</v>
      </c>
      <c r="F80" s="345" t="s">
        <v>997</v>
      </c>
      <c r="G80" s="200"/>
      <c r="H80" s="345" t="s">
        <v>469</v>
      </c>
      <c r="I80" s="345" t="s">
        <v>904</v>
      </c>
      <c r="J80" s="200" t="s">
        <v>251</v>
      </c>
      <c r="K80" s="232" t="s">
        <v>999</v>
      </c>
      <c r="L80" s="233" t="s">
        <v>1003</v>
      </c>
      <c r="M80" s="202"/>
      <c r="N80" s="200"/>
      <c r="O80" s="109" t="s">
        <v>195</v>
      </c>
      <c r="P80" s="349" t="s">
        <v>1134</v>
      </c>
      <c r="Q80" s="349" t="s">
        <v>1114</v>
      </c>
      <c r="R80" s="229" t="s">
        <v>469</v>
      </c>
      <c r="S80" s="351" t="s">
        <v>998</v>
      </c>
      <c r="T80" s="341" t="s">
        <v>1019</v>
      </c>
    </row>
    <row r="81" spans="1:20" ht="17">
      <c r="A81" s="390"/>
      <c r="B81" s="384"/>
      <c r="C81" s="384"/>
      <c r="D81" s="384"/>
      <c r="E81" s="384"/>
      <c r="F81" s="384"/>
      <c r="G81" s="114"/>
      <c r="H81" s="384"/>
      <c r="I81" s="384"/>
      <c r="J81" s="114" t="s">
        <v>4</v>
      </c>
      <c r="K81" s="205" t="s">
        <v>1000</v>
      </c>
      <c r="L81" s="116" t="s">
        <v>1004</v>
      </c>
      <c r="M81" s="206"/>
      <c r="N81" s="114"/>
      <c r="O81" s="112" t="s">
        <v>195</v>
      </c>
      <c r="P81" s="431"/>
      <c r="Q81" s="431"/>
      <c r="R81" s="223" t="s">
        <v>469</v>
      </c>
      <c r="S81" s="388"/>
      <c r="T81" s="440"/>
    </row>
    <row r="82" spans="1:20" ht="17">
      <c r="A82" s="390"/>
      <c r="B82" s="384"/>
      <c r="C82" s="384"/>
      <c r="D82" s="384"/>
      <c r="E82" s="384"/>
      <c r="F82" s="384"/>
      <c r="G82" s="114"/>
      <c r="H82" s="384"/>
      <c r="I82" s="384"/>
      <c r="J82" s="114" t="s">
        <v>98</v>
      </c>
      <c r="K82" s="234" t="s">
        <v>1001</v>
      </c>
      <c r="L82" s="235" t="s">
        <v>1005</v>
      </c>
      <c r="M82" s="206"/>
      <c r="N82" s="114"/>
      <c r="O82" s="112" t="s">
        <v>195</v>
      </c>
      <c r="P82" s="431"/>
      <c r="Q82" s="431"/>
      <c r="R82" s="223" t="s">
        <v>469</v>
      </c>
      <c r="S82" s="388"/>
      <c r="T82" s="440"/>
    </row>
    <row r="83" spans="1:20" ht="18" thickBot="1">
      <c r="A83" s="338"/>
      <c r="B83" s="346"/>
      <c r="C83" s="346"/>
      <c r="D83" s="346"/>
      <c r="E83" s="346"/>
      <c r="F83" s="346"/>
      <c r="G83" s="209"/>
      <c r="H83" s="346"/>
      <c r="I83" s="346"/>
      <c r="J83" s="209" t="s">
        <v>5</v>
      </c>
      <c r="K83" s="210" t="s">
        <v>1002</v>
      </c>
      <c r="L83" s="211" t="s">
        <v>1006</v>
      </c>
      <c r="M83" s="212"/>
      <c r="N83" s="209"/>
      <c r="O83" s="113" t="s">
        <v>195</v>
      </c>
      <c r="P83" s="350"/>
      <c r="Q83" s="350"/>
      <c r="R83" s="226" t="s">
        <v>469</v>
      </c>
      <c r="S83" s="352"/>
      <c r="T83" s="441"/>
    </row>
    <row r="88" spans="1:20" ht="77" customHeight="1"/>
    <row r="89" spans="1:20" ht="91" customHeight="1"/>
  </sheetData>
  <mergeCells count="213">
    <mergeCell ref="Q2:Q4"/>
    <mergeCell ref="E2:E4"/>
    <mergeCell ref="D12:D16"/>
    <mergeCell ref="E12:E16"/>
    <mergeCell ref="Q12:Q16"/>
    <mergeCell ref="D27:D28"/>
    <mergeCell ref="E27:E28"/>
    <mergeCell ref="Q27:Q28"/>
    <mergeCell ref="F27:F28"/>
    <mergeCell ref="P10:P11"/>
    <mergeCell ref="Q10:Q11"/>
    <mergeCell ref="Q6:Q9"/>
    <mergeCell ref="Q32:Q37"/>
    <mergeCell ref="Q38:Q39"/>
    <mergeCell ref="D38:D39"/>
    <mergeCell ref="E38:E39"/>
    <mergeCell ref="H75:H79"/>
    <mergeCell ref="F75:F79"/>
    <mergeCell ref="P38:P39"/>
    <mergeCell ref="I75:I79"/>
    <mergeCell ref="P44:P52"/>
    <mergeCell ref="D56:D65"/>
    <mergeCell ref="E56:E65"/>
    <mergeCell ref="Q56:Q65"/>
    <mergeCell ref="D42:D43"/>
    <mergeCell ref="E42:E43"/>
    <mergeCell ref="F42:F43"/>
    <mergeCell ref="I42:I43"/>
    <mergeCell ref="H42:H43"/>
    <mergeCell ref="C32:C37"/>
    <mergeCell ref="B32:B37"/>
    <mergeCell ref="F32:F37"/>
    <mergeCell ref="C56:C65"/>
    <mergeCell ref="B56:B65"/>
    <mergeCell ref="A56:A65"/>
    <mergeCell ref="E44:E52"/>
    <mergeCell ref="G44:G52"/>
    <mergeCell ref="F44:F52"/>
    <mergeCell ref="C44:C52"/>
    <mergeCell ref="B44:B52"/>
    <mergeCell ref="A44:A52"/>
    <mergeCell ref="D44:D52"/>
    <mergeCell ref="D32:D37"/>
    <mergeCell ref="E32:E37"/>
    <mergeCell ref="A42:A43"/>
    <mergeCell ref="S38:S39"/>
    <mergeCell ref="Q42:Q43"/>
    <mergeCell ref="Q29:Q30"/>
    <mergeCell ref="S29:S30"/>
    <mergeCell ref="P2:P4"/>
    <mergeCell ref="P42:P43"/>
    <mergeCell ref="P32:P37"/>
    <mergeCell ref="P75:P79"/>
    <mergeCell ref="A38:A39"/>
    <mergeCell ref="B12:B16"/>
    <mergeCell ref="A27:A28"/>
    <mergeCell ref="B27:B28"/>
    <mergeCell ref="C27:C28"/>
    <mergeCell ref="H27:H28"/>
    <mergeCell ref="I27:I28"/>
    <mergeCell ref="P27:P28"/>
    <mergeCell ref="A32:A37"/>
    <mergeCell ref="D66:D74"/>
    <mergeCell ref="E66:E74"/>
    <mergeCell ref="D75:D79"/>
    <mergeCell ref="E75:E79"/>
    <mergeCell ref="A29:A30"/>
    <mergeCell ref="C75:C79"/>
    <mergeCell ref="B75:B79"/>
    <mergeCell ref="C80:C83"/>
    <mergeCell ref="B80:B83"/>
    <mergeCell ref="A80:A83"/>
    <mergeCell ref="I38:I39"/>
    <mergeCell ref="H38:H39"/>
    <mergeCell ref="F38:F39"/>
    <mergeCell ref="C38:C39"/>
    <mergeCell ref="B38:B39"/>
    <mergeCell ref="I66:I74"/>
    <mergeCell ref="D80:D83"/>
    <mergeCell ref="E80:E83"/>
    <mergeCell ref="C42:C43"/>
    <mergeCell ref="B42:B43"/>
    <mergeCell ref="A75:A79"/>
    <mergeCell ref="I56:I65"/>
    <mergeCell ref="H56:H65"/>
    <mergeCell ref="F56:F65"/>
    <mergeCell ref="A66:A74"/>
    <mergeCell ref="B66:B74"/>
    <mergeCell ref="C66:C74"/>
    <mergeCell ref="F66:F74"/>
    <mergeCell ref="H66:H74"/>
    <mergeCell ref="T2:T4"/>
    <mergeCell ref="S2:S4"/>
    <mergeCell ref="I2:I4"/>
    <mergeCell ref="S42:S43"/>
    <mergeCell ref="S66:S74"/>
    <mergeCell ref="T66:T74"/>
    <mergeCell ref="H44:H52"/>
    <mergeCell ref="I44:I52"/>
    <mergeCell ref="S44:S52"/>
    <mergeCell ref="T44:T52"/>
    <mergeCell ref="R17:R19"/>
    <mergeCell ref="T17:T19"/>
    <mergeCell ref="S17:S19"/>
    <mergeCell ref="R10:R11"/>
    <mergeCell ref="T10:T11"/>
    <mergeCell ref="S10:S11"/>
    <mergeCell ref="P6:P9"/>
    <mergeCell ref="T38:T39"/>
    <mergeCell ref="Q66:Q74"/>
    <mergeCell ref="S56:S65"/>
    <mergeCell ref="T56:T65"/>
    <mergeCell ref="P56:P65"/>
    <mergeCell ref="P12:P16"/>
    <mergeCell ref="P66:P74"/>
    <mergeCell ref="T12:T16"/>
    <mergeCell ref="T42:T43"/>
    <mergeCell ref="I12:I16"/>
    <mergeCell ref="S12:S16"/>
    <mergeCell ref="G12:G16"/>
    <mergeCell ref="F12:F16"/>
    <mergeCell ref="T32:T37"/>
    <mergeCell ref="S32:S37"/>
    <mergeCell ref="T80:T83"/>
    <mergeCell ref="S80:S83"/>
    <mergeCell ref="Q44:Q52"/>
    <mergeCell ref="I80:I83"/>
    <mergeCell ref="H80:H83"/>
    <mergeCell ref="F80:F83"/>
    <mergeCell ref="Q75:Q79"/>
    <mergeCell ref="Q80:Q83"/>
    <mergeCell ref="S75:S79"/>
    <mergeCell ref="T75:T79"/>
    <mergeCell ref="P80:P83"/>
    <mergeCell ref="P29:P30"/>
    <mergeCell ref="S27:S28"/>
    <mergeCell ref="H32:H37"/>
    <mergeCell ref="I32:I37"/>
    <mergeCell ref="T27:T28"/>
    <mergeCell ref="A2:A4"/>
    <mergeCell ref="C2:C4"/>
    <mergeCell ref="F2:F4"/>
    <mergeCell ref="H2:H4"/>
    <mergeCell ref="A12:A16"/>
    <mergeCell ref="C12:C16"/>
    <mergeCell ref="H12:H16"/>
    <mergeCell ref="B2:B4"/>
    <mergeCell ref="G2:G4"/>
    <mergeCell ref="A6:A9"/>
    <mergeCell ref="B6:B9"/>
    <mergeCell ref="C6:C9"/>
    <mergeCell ref="D6:D9"/>
    <mergeCell ref="E6:E9"/>
    <mergeCell ref="D10:D11"/>
    <mergeCell ref="E10:E11"/>
    <mergeCell ref="H10:H11"/>
    <mergeCell ref="D2:D4"/>
    <mergeCell ref="R20:R24"/>
    <mergeCell ref="S20:S24"/>
    <mergeCell ref="T20:T24"/>
    <mergeCell ref="C20:C24"/>
    <mergeCell ref="D20:D24"/>
    <mergeCell ref="P20:P24"/>
    <mergeCell ref="T29:T30"/>
    <mergeCell ref="A25:A26"/>
    <mergeCell ref="B25:B26"/>
    <mergeCell ref="C25:C26"/>
    <mergeCell ref="D25:D26"/>
    <mergeCell ref="E25:E26"/>
    <mergeCell ref="P25:P26"/>
    <mergeCell ref="Q25:Q26"/>
    <mergeCell ref="S25:S26"/>
    <mergeCell ref="T25:T26"/>
    <mergeCell ref="B29:B30"/>
    <mergeCell ref="C29:C30"/>
    <mergeCell ref="D29:D30"/>
    <mergeCell ref="E29:E30"/>
    <mergeCell ref="B17:B19"/>
    <mergeCell ref="C17:C19"/>
    <mergeCell ref="D17:D19"/>
    <mergeCell ref="E17:E19"/>
    <mergeCell ref="H17:H19"/>
    <mergeCell ref="P17:P19"/>
    <mergeCell ref="Q17:Q19"/>
    <mergeCell ref="A20:A24"/>
    <mergeCell ref="B20:B24"/>
    <mergeCell ref="E20:E24"/>
    <mergeCell ref="H20:H24"/>
    <mergeCell ref="Q20:Q24"/>
    <mergeCell ref="S6:S9"/>
    <mergeCell ref="T6:T9"/>
    <mergeCell ref="A53:A54"/>
    <mergeCell ref="B53:B54"/>
    <mergeCell ref="C53:C54"/>
    <mergeCell ref="D53:D54"/>
    <mergeCell ref="E53:E54"/>
    <mergeCell ref="P53:P54"/>
    <mergeCell ref="Q53:Q54"/>
    <mergeCell ref="S53:S54"/>
    <mergeCell ref="T53:T54"/>
    <mergeCell ref="A40:A41"/>
    <mergeCell ref="B40:B41"/>
    <mergeCell ref="C40:C41"/>
    <mergeCell ref="D40:D41"/>
    <mergeCell ref="E40:E41"/>
    <mergeCell ref="P40:P41"/>
    <mergeCell ref="Q40:Q41"/>
    <mergeCell ref="S40:S41"/>
    <mergeCell ref="T40:T41"/>
    <mergeCell ref="A10:A11"/>
    <mergeCell ref="B10:B11"/>
    <mergeCell ref="C10:C11"/>
    <mergeCell ref="A17:A19"/>
  </mergeCells>
  <phoneticPr fontId="4" type="noConversion"/>
  <hyperlinks>
    <hyperlink ref="T66" r:id="rId1" display="https://www.sciencedirect.com/science/article/pii/S1567576923004290?ref=pdf_download&amp;fr=RR-2&amp;rr=979f02ae5c9e1af5" xr:uid="{E088400D-3A4B-3B40-801B-7CD78F2DD440}"/>
    <hyperlink ref="T2" r:id="rId2" display="https://www.sciencedirect.com/science/article/pii/S0924977X01000815?ref=pdf_download&amp;fr=RR-2&amp;rr=979f2c587fd71b08" xr:uid="{027ED550-2993-9349-B181-8828D0BDF0F3}"/>
    <hyperlink ref="T32" r:id="rId3" display="https://pubmed.ncbi.nlm.nih.gov/22981313/" xr:uid="{875200D7-9ACF-4B47-BA7E-6127FD4CC72B}"/>
    <hyperlink ref="T75" r:id="rId4" xr:uid="{9D6A382E-922C-FD40-8AA5-A27E96D4F3AC}"/>
    <hyperlink ref="T56" r:id="rId5" xr:uid="{CC6F7249-E6F6-E945-9703-CBA8FA98A70F}"/>
    <hyperlink ref="T80" r:id="rId6" display="https://www.sciencedirect.com/science/article/pii/S0022395625001414?ref=pdf_download&amp;fr=RR-2&amp;rr=97a84c0e5fc85285" xr:uid="{DE170216-AD09-BF4A-A745-40AE596D0505}"/>
    <hyperlink ref="T44" r:id="rId7" xr:uid="{8AF6CDEA-ECB1-0843-960C-3B8BF64CB9BF}"/>
    <hyperlink ref="T53" r:id="rId8" xr:uid="{C9B552E5-E0A9-3243-B019-53AC065BBC44}"/>
    <hyperlink ref="T40" r:id="rId9" xr:uid="{2C080FE9-7A06-EA44-AD91-E5DD999CDC7A}"/>
  </hyperlinks>
  <pageMargins left="0.511811024" right="0.511811024" top="0.78740157499999996" bottom="0.78740157499999996" header="0.31496062000000002" footer="0.31496062000000002"/>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07D8-3240-804E-95A9-9C81EFA1D0B1}">
  <sheetPr filterMode="1"/>
  <dimension ref="A1:M131"/>
  <sheetViews>
    <sheetView zoomScale="90" zoomScaleNormal="90" workbookViewId="0">
      <selection activeCell="L1" sqref="L1"/>
    </sheetView>
  </sheetViews>
  <sheetFormatPr baseColWidth="10" defaultRowHeight="16"/>
  <cols>
    <col min="1" max="1" width="18.33203125" style="14" customWidth="1"/>
    <col min="2" max="2" width="9.83203125" style="14" customWidth="1"/>
    <col min="3" max="3" width="25.83203125" style="14" customWidth="1"/>
    <col min="4" max="4" width="13.83203125" style="14" customWidth="1"/>
    <col min="5" max="5" width="15.5" style="14" customWidth="1"/>
    <col min="6" max="6" width="15" style="14" customWidth="1"/>
    <col min="7" max="7" width="19.1640625" style="3" customWidth="1"/>
    <col min="8" max="8" width="18.83203125" style="3" customWidth="1"/>
    <col min="9" max="9" width="10.83203125" style="14"/>
    <col min="11" max="11" width="10.83203125" style="58"/>
    <col min="12" max="12" width="43.1640625" style="53" customWidth="1"/>
  </cols>
  <sheetData>
    <row r="1" spans="1:13" ht="33" thickBot="1">
      <c r="A1" s="34" t="s">
        <v>25</v>
      </c>
      <c r="B1" s="31" t="s">
        <v>372</v>
      </c>
      <c r="C1" s="31" t="s">
        <v>477</v>
      </c>
      <c r="D1" s="32" t="s">
        <v>478</v>
      </c>
      <c r="E1" s="32" t="s">
        <v>381</v>
      </c>
      <c r="F1" s="31" t="s">
        <v>26</v>
      </c>
      <c r="G1" s="31" t="s">
        <v>27</v>
      </c>
      <c r="H1" s="31" t="s">
        <v>28</v>
      </c>
      <c r="I1" s="31" t="s">
        <v>29</v>
      </c>
      <c r="J1" s="56" t="s">
        <v>648</v>
      </c>
      <c r="K1" s="57" t="s">
        <v>649</v>
      </c>
      <c r="L1" s="57" t="s">
        <v>650</v>
      </c>
    </row>
    <row r="2" spans="1:13" ht="16" customHeight="1">
      <c r="A2" s="456" t="s">
        <v>262</v>
      </c>
      <c r="B2" s="452">
        <v>14</v>
      </c>
      <c r="C2" s="3" t="s">
        <v>465</v>
      </c>
      <c r="D2" s="450" t="s">
        <v>476</v>
      </c>
      <c r="E2" s="3" t="s">
        <v>373</v>
      </c>
      <c r="F2" s="7" t="s">
        <v>263</v>
      </c>
      <c r="G2" s="7" t="s">
        <v>487</v>
      </c>
      <c r="H2" s="7" t="s">
        <v>488</v>
      </c>
      <c r="I2" s="7" t="s">
        <v>266</v>
      </c>
      <c r="J2" s="8" t="s">
        <v>656</v>
      </c>
      <c r="K2" s="7" t="s">
        <v>263</v>
      </c>
      <c r="L2" s="52" t="s">
        <v>651</v>
      </c>
      <c r="M2" t="s">
        <v>657</v>
      </c>
    </row>
    <row r="3" spans="1:13">
      <c r="A3" s="457"/>
      <c r="B3" s="450"/>
      <c r="C3" s="3" t="s">
        <v>468</v>
      </c>
      <c r="D3" s="450"/>
      <c r="E3" s="3" t="s">
        <v>374</v>
      </c>
      <c r="F3" s="7" t="s">
        <v>4</v>
      </c>
      <c r="G3" s="7" t="s">
        <v>490</v>
      </c>
      <c r="H3" s="7" t="s">
        <v>489</v>
      </c>
      <c r="I3" s="7" t="s">
        <v>267</v>
      </c>
      <c r="J3" s="8" t="s">
        <v>656</v>
      </c>
      <c r="K3" s="7" t="s">
        <v>4</v>
      </c>
      <c r="L3" s="52" t="s">
        <v>651</v>
      </c>
      <c r="M3" t="s">
        <v>657</v>
      </c>
    </row>
    <row r="4" spans="1:13" ht="17" thickBot="1">
      <c r="A4" s="457"/>
      <c r="B4" s="450"/>
      <c r="C4" s="3" t="s">
        <v>466</v>
      </c>
      <c r="D4" s="450"/>
      <c r="E4" s="3" t="s">
        <v>383</v>
      </c>
      <c r="F4" s="7" t="s">
        <v>5</v>
      </c>
      <c r="G4" s="7" t="s">
        <v>493</v>
      </c>
      <c r="H4" s="7" t="s">
        <v>491</v>
      </c>
      <c r="I4" s="7" t="s">
        <v>266</v>
      </c>
      <c r="J4" s="8" t="s">
        <v>656</v>
      </c>
      <c r="K4" s="7" t="s">
        <v>5</v>
      </c>
      <c r="L4" s="52" t="s">
        <v>651</v>
      </c>
      <c r="M4" t="s">
        <v>657</v>
      </c>
    </row>
    <row r="5" spans="1:13" ht="17" hidden="1" thickBot="1">
      <c r="A5" s="457"/>
      <c r="B5" s="450"/>
      <c r="C5" s="3" t="s">
        <v>467</v>
      </c>
      <c r="D5" s="450"/>
      <c r="E5" s="3" t="s">
        <v>375</v>
      </c>
      <c r="F5" s="3" t="s">
        <v>264</v>
      </c>
      <c r="G5" s="3" t="s">
        <v>492</v>
      </c>
      <c r="H5" s="3" t="s">
        <v>494</v>
      </c>
      <c r="I5" s="1" t="s">
        <v>268</v>
      </c>
      <c r="K5" s="7" t="s">
        <v>1</v>
      </c>
      <c r="L5" s="52" t="s">
        <v>651</v>
      </c>
    </row>
    <row r="6" spans="1:13" ht="17" hidden="1" thickBot="1">
      <c r="A6" s="458"/>
      <c r="B6" s="451"/>
      <c r="C6" s="6"/>
      <c r="D6" s="451"/>
      <c r="E6" s="6" t="s">
        <v>376</v>
      </c>
      <c r="F6" s="6" t="s">
        <v>265</v>
      </c>
      <c r="G6" s="6" t="s">
        <v>496</v>
      </c>
      <c r="H6" s="6" t="s">
        <v>495</v>
      </c>
      <c r="I6" s="13" t="s">
        <v>269</v>
      </c>
      <c r="K6" s="7" t="s">
        <v>2</v>
      </c>
      <c r="L6" s="52" t="s">
        <v>651</v>
      </c>
    </row>
    <row r="7" spans="1:13">
      <c r="A7" s="456" t="s">
        <v>0</v>
      </c>
      <c r="B7" s="452">
        <v>32</v>
      </c>
      <c r="C7" s="3" t="s">
        <v>233</v>
      </c>
      <c r="D7" s="452" t="s">
        <v>479</v>
      </c>
      <c r="E7" s="3" t="s">
        <v>377</v>
      </c>
      <c r="F7" s="7" t="s">
        <v>1</v>
      </c>
      <c r="G7" s="7" t="s">
        <v>7</v>
      </c>
      <c r="H7" s="7" t="s">
        <v>13</v>
      </c>
      <c r="I7" s="7" t="s">
        <v>19</v>
      </c>
      <c r="J7" s="8" t="s">
        <v>656</v>
      </c>
      <c r="K7" s="7" t="s">
        <v>3</v>
      </c>
      <c r="L7" s="53" t="s">
        <v>485</v>
      </c>
      <c r="M7" t="s">
        <v>657</v>
      </c>
    </row>
    <row r="8" spans="1:13">
      <c r="A8" s="457"/>
      <c r="B8" s="450"/>
      <c r="C8" s="3" t="s">
        <v>234</v>
      </c>
      <c r="D8" s="450"/>
      <c r="E8" s="3" t="s">
        <v>378</v>
      </c>
      <c r="F8" s="7" t="s">
        <v>2</v>
      </c>
      <c r="G8" s="7" t="s">
        <v>8</v>
      </c>
      <c r="H8" s="7" t="s">
        <v>14</v>
      </c>
      <c r="I8" s="7" t="s">
        <v>20</v>
      </c>
      <c r="J8" s="8" t="s">
        <v>656</v>
      </c>
      <c r="K8" s="7" t="s">
        <v>4</v>
      </c>
      <c r="L8" s="53" t="s">
        <v>485</v>
      </c>
      <c r="M8" t="s">
        <v>657</v>
      </c>
    </row>
    <row r="9" spans="1:13" ht="17" thickBot="1">
      <c r="A9" s="457"/>
      <c r="B9" s="450"/>
      <c r="C9" s="3" t="s">
        <v>235</v>
      </c>
      <c r="D9" s="450"/>
      <c r="E9" s="3" t="s">
        <v>379</v>
      </c>
      <c r="F9" s="7" t="s">
        <v>3</v>
      </c>
      <c r="G9" s="7" t="s">
        <v>9</v>
      </c>
      <c r="H9" s="7" t="s">
        <v>15</v>
      </c>
      <c r="I9" s="7" t="s">
        <v>21</v>
      </c>
      <c r="J9" s="8" t="s">
        <v>655</v>
      </c>
      <c r="K9" s="7" t="s">
        <v>5</v>
      </c>
      <c r="L9" s="53" t="s">
        <v>485</v>
      </c>
      <c r="M9" t="s">
        <v>657</v>
      </c>
    </row>
    <row r="10" spans="1:13">
      <c r="A10" s="457"/>
      <c r="B10" s="450"/>
      <c r="C10" s="3" t="s">
        <v>236</v>
      </c>
      <c r="D10" s="450"/>
      <c r="E10" s="3" t="s">
        <v>374</v>
      </c>
      <c r="F10" s="7" t="s">
        <v>4</v>
      </c>
      <c r="G10" s="7" t="s">
        <v>10</v>
      </c>
      <c r="H10" s="7" t="s">
        <v>16</v>
      </c>
      <c r="I10" s="7" t="s">
        <v>22</v>
      </c>
      <c r="J10" s="8" t="s">
        <v>656</v>
      </c>
      <c r="K10" s="11" t="s">
        <v>2</v>
      </c>
      <c r="L10" s="53" t="s">
        <v>485</v>
      </c>
      <c r="M10" t="s">
        <v>657</v>
      </c>
    </row>
    <row r="11" spans="1:13" ht="17" thickBot="1">
      <c r="A11" s="457"/>
      <c r="B11" s="450"/>
      <c r="C11" s="3" t="s">
        <v>237</v>
      </c>
      <c r="D11" s="450"/>
      <c r="E11" s="3" t="s">
        <v>383</v>
      </c>
      <c r="F11" s="7" t="s">
        <v>5</v>
      </c>
      <c r="G11" s="7" t="s">
        <v>11</v>
      </c>
      <c r="H11" s="7" t="s">
        <v>17</v>
      </c>
      <c r="I11" s="7" t="s">
        <v>23</v>
      </c>
      <c r="J11" s="8" t="s">
        <v>656</v>
      </c>
      <c r="K11" s="7" t="s">
        <v>3</v>
      </c>
      <c r="L11" s="53" t="s">
        <v>485</v>
      </c>
      <c r="M11" t="s">
        <v>657</v>
      </c>
    </row>
    <row r="12" spans="1:13" ht="17" hidden="1" thickBot="1">
      <c r="A12" s="458"/>
      <c r="B12" s="451"/>
      <c r="D12" s="451"/>
      <c r="E12" s="8" t="s">
        <v>380</v>
      </c>
      <c r="F12" s="8" t="s">
        <v>6</v>
      </c>
      <c r="G12" s="8" t="s">
        <v>12</v>
      </c>
      <c r="H12" s="8" t="s">
        <v>18</v>
      </c>
      <c r="I12" s="9" t="s">
        <v>24</v>
      </c>
      <c r="K12" s="7" t="s">
        <v>287</v>
      </c>
      <c r="L12" s="53" t="s">
        <v>479</v>
      </c>
    </row>
    <row r="13" spans="1:13" ht="17" customHeight="1">
      <c r="A13" s="456" t="s">
        <v>319</v>
      </c>
      <c r="B13" s="452">
        <v>30</v>
      </c>
      <c r="C13" s="452" t="s">
        <v>464</v>
      </c>
      <c r="D13" s="452" t="s">
        <v>469</v>
      </c>
      <c r="E13" s="4" t="s">
        <v>378</v>
      </c>
      <c r="F13" s="11" t="s">
        <v>2</v>
      </c>
      <c r="G13" s="11" t="s">
        <v>320</v>
      </c>
      <c r="H13" s="11" t="s">
        <v>321</v>
      </c>
      <c r="I13" s="11" t="s">
        <v>322</v>
      </c>
      <c r="J13" s="8" t="s">
        <v>656</v>
      </c>
      <c r="K13" s="7" t="s">
        <v>5</v>
      </c>
      <c r="L13" s="53" t="s">
        <v>469</v>
      </c>
    </row>
    <row r="14" spans="1:13" ht="17" thickBot="1">
      <c r="A14" s="457"/>
      <c r="B14" s="450"/>
      <c r="C14" s="450"/>
      <c r="D14" s="450"/>
      <c r="E14" s="3" t="s">
        <v>379</v>
      </c>
      <c r="F14" s="7" t="s">
        <v>3</v>
      </c>
      <c r="G14" s="7" t="s">
        <v>323</v>
      </c>
      <c r="H14" s="7" t="s">
        <v>324</v>
      </c>
      <c r="I14" s="7" t="s">
        <v>322</v>
      </c>
      <c r="J14" s="8" t="s">
        <v>655</v>
      </c>
      <c r="K14" s="7" t="s">
        <v>273</v>
      </c>
      <c r="L14" s="53" t="s">
        <v>469</v>
      </c>
    </row>
    <row r="15" spans="1:13">
      <c r="A15" s="457"/>
      <c r="B15" s="450"/>
      <c r="C15" s="450"/>
      <c r="D15" s="450"/>
      <c r="E15" s="3" t="s">
        <v>382</v>
      </c>
      <c r="F15" s="7" t="s">
        <v>287</v>
      </c>
      <c r="G15" s="7" t="s">
        <v>325</v>
      </c>
      <c r="H15" s="7" t="s">
        <v>326</v>
      </c>
      <c r="I15" s="7" t="s">
        <v>322</v>
      </c>
      <c r="J15" s="8" t="s">
        <v>656</v>
      </c>
      <c r="K15" s="11" t="s">
        <v>5</v>
      </c>
      <c r="L15" s="53" t="s">
        <v>469</v>
      </c>
    </row>
    <row r="16" spans="1:13">
      <c r="A16" s="457"/>
      <c r="B16" s="450"/>
      <c r="C16" s="450"/>
      <c r="D16" s="450"/>
      <c r="E16" s="3" t="s">
        <v>383</v>
      </c>
      <c r="F16" s="7" t="s">
        <v>5</v>
      </c>
      <c r="G16" s="7" t="s">
        <v>327</v>
      </c>
      <c r="H16" s="7" t="s">
        <v>328</v>
      </c>
      <c r="I16" s="7" t="s">
        <v>322</v>
      </c>
      <c r="J16" s="8" t="s">
        <v>656</v>
      </c>
      <c r="K16" s="7" t="s">
        <v>251</v>
      </c>
      <c r="L16" s="53" t="s">
        <v>469</v>
      </c>
    </row>
    <row r="17" spans="1:13" hidden="1">
      <c r="A17" s="457"/>
      <c r="B17" s="450"/>
      <c r="C17" s="450"/>
      <c r="D17" s="450"/>
      <c r="E17" s="3" t="s">
        <v>384</v>
      </c>
      <c r="F17" s="3" t="s">
        <v>6</v>
      </c>
      <c r="G17" s="3" t="s">
        <v>329</v>
      </c>
      <c r="H17" s="3" t="s">
        <v>330</v>
      </c>
      <c r="I17" s="1" t="s">
        <v>322</v>
      </c>
      <c r="K17" s="7" t="s">
        <v>318</v>
      </c>
      <c r="L17" s="53" t="s">
        <v>469</v>
      </c>
    </row>
    <row r="18" spans="1:13" ht="17" thickBot="1">
      <c r="A18" s="457"/>
      <c r="B18" s="450"/>
      <c r="C18" s="450"/>
      <c r="D18" s="451"/>
      <c r="E18" s="3" t="s">
        <v>385</v>
      </c>
      <c r="F18" s="7" t="s">
        <v>273</v>
      </c>
      <c r="G18" s="7" t="s">
        <v>331</v>
      </c>
      <c r="H18" s="7" t="s">
        <v>332</v>
      </c>
      <c r="I18" s="7" t="s">
        <v>322</v>
      </c>
      <c r="J18" s="8" t="s">
        <v>656</v>
      </c>
      <c r="K18" s="30" t="s">
        <v>317</v>
      </c>
      <c r="L18" s="53" t="s">
        <v>469</v>
      </c>
    </row>
    <row r="19" spans="1:13" ht="17" customHeight="1">
      <c r="A19" s="456" t="s">
        <v>313</v>
      </c>
      <c r="B19" s="452">
        <v>14</v>
      </c>
      <c r="C19" s="452" t="s">
        <v>314</v>
      </c>
      <c r="D19" s="452" t="s">
        <v>472</v>
      </c>
      <c r="E19" s="4" t="s">
        <v>386</v>
      </c>
      <c r="F19" s="11" t="s">
        <v>5</v>
      </c>
      <c r="G19" s="11" t="s">
        <v>497</v>
      </c>
      <c r="H19" s="11" t="s">
        <v>502</v>
      </c>
      <c r="I19" s="4"/>
      <c r="J19" s="8" t="s">
        <v>655</v>
      </c>
      <c r="K19" s="7" t="s">
        <v>251</v>
      </c>
      <c r="L19" s="53" t="s">
        <v>472</v>
      </c>
    </row>
    <row r="20" spans="1:13" ht="17" thickBot="1">
      <c r="A20" s="457"/>
      <c r="B20" s="450"/>
      <c r="C20" s="450"/>
      <c r="D20" s="450"/>
      <c r="E20" s="3" t="s">
        <v>387</v>
      </c>
      <c r="F20" s="7" t="s">
        <v>251</v>
      </c>
      <c r="G20" s="7" t="s">
        <v>498</v>
      </c>
      <c r="H20" s="7" t="s">
        <v>503</v>
      </c>
      <c r="I20" s="3"/>
      <c r="J20" s="8" t="s">
        <v>656</v>
      </c>
      <c r="K20" s="7" t="s">
        <v>4</v>
      </c>
      <c r="L20" s="53" t="s">
        <v>472</v>
      </c>
    </row>
    <row r="21" spans="1:13" ht="17" thickBot="1">
      <c r="A21" s="457"/>
      <c r="B21" s="450"/>
      <c r="C21" s="450"/>
      <c r="D21" s="450"/>
      <c r="E21" s="3" t="s">
        <v>388</v>
      </c>
      <c r="F21" s="7" t="s">
        <v>318</v>
      </c>
      <c r="G21" s="7" t="s">
        <v>499</v>
      </c>
      <c r="H21" s="7" t="s">
        <v>504</v>
      </c>
      <c r="I21" s="3"/>
      <c r="J21" s="8" t="s">
        <v>655</v>
      </c>
      <c r="K21" s="11" t="s">
        <v>303</v>
      </c>
      <c r="L21" s="53" t="s">
        <v>472</v>
      </c>
    </row>
    <row r="22" spans="1:13" ht="17" hidden="1" thickBot="1">
      <c r="A22" s="457"/>
      <c r="B22" s="450"/>
      <c r="C22" s="450"/>
      <c r="D22" s="450"/>
      <c r="E22" s="3" t="s">
        <v>389</v>
      </c>
      <c r="F22" s="3" t="s">
        <v>316</v>
      </c>
      <c r="G22" s="3" t="s">
        <v>500</v>
      </c>
      <c r="H22" s="3" t="s">
        <v>505</v>
      </c>
      <c r="I22" s="1"/>
      <c r="K22" s="7" t="s">
        <v>5</v>
      </c>
      <c r="L22" s="53" t="s">
        <v>472</v>
      </c>
    </row>
    <row r="23" spans="1:13" ht="17" thickBot="1">
      <c r="A23" s="458"/>
      <c r="B23" s="451"/>
      <c r="C23" s="451"/>
      <c r="D23" s="451"/>
      <c r="E23" s="6" t="s">
        <v>390</v>
      </c>
      <c r="F23" s="30" t="s">
        <v>317</v>
      </c>
      <c r="G23" s="30" t="s">
        <v>501</v>
      </c>
      <c r="H23" s="30" t="s">
        <v>506</v>
      </c>
      <c r="I23" s="6"/>
      <c r="J23" s="8" t="s">
        <v>655</v>
      </c>
      <c r="K23" s="11" t="s">
        <v>251</v>
      </c>
      <c r="L23" s="53" t="s">
        <v>472</v>
      </c>
    </row>
    <row r="24" spans="1:13">
      <c r="A24" s="457" t="s">
        <v>30</v>
      </c>
      <c r="B24" s="450">
        <v>16</v>
      </c>
      <c r="C24" s="3" t="s">
        <v>238</v>
      </c>
      <c r="D24" s="452" t="s">
        <v>480</v>
      </c>
      <c r="E24" s="3" t="s">
        <v>387</v>
      </c>
      <c r="F24" s="7" t="s">
        <v>251</v>
      </c>
      <c r="G24" s="7" t="s">
        <v>32</v>
      </c>
      <c r="H24" s="7" t="s">
        <v>35</v>
      </c>
      <c r="I24" s="7" t="s">
        <v>38</v>
      </c>
      <c r="J24" s="8" t="s">
        <v>656</v>
      </c>
      <c r="K24" s="7" t="s">
        <v>2</v>
      </c>
      <c r="L24" s="53" t="s">
        <v>654</v>
      </c>
      <c r="M24" t="s">
        <v>657</v>
      </c>
    </row>
    <row r="25" spans="1:13" hidden="1">
      <c r="A25" s="457"/>
      <c r="B25" s="450"/>
      <c r="C25" s="3" t="s">
        <v>31</v>
      </c>
      <c r="D25" s="450"/>
      <c r="E25" s="3"/>
      <c r="F25" s="3"/>
      <c r="I25" s="1"/>
      <c r="K25" s="7" t="s">
        <v>300</v>
      </c>
      <c r="L25" s="53" t="s">
        <v>480</v>
      </c>
    </row>
    <row r="26" spans="1:13" ht="17" thickBot="1">
      <c r="A26" s="457"/>
      <c r="B26" s="450"/>
      <c r="C26" s="3" t="s">
        <v>239</v>
      </c>
      <c r="D26" s="450"/>
      <c r="E26" s="3" t="s">
        <v>374</v>
      </c>
      <c r="F26" s="7" t="s">
        <v>4</v>
      </c>
      <c r="G26" s="7" t="s">
        <v>33</v>
      </c>
      <c r="H26" s="7" t="s">
        <v>36</v>
      </c>
      <c r="I26" s="7" t="s">
        <v>39</v>
      </c>
      <c r="J26" s="8" t="s">
        <v>656</v>
      </c>
      <c r="K26" s="7" t="s">
        <v>301</v>
      </c>
      <c r="L26" s="53" t="s">
        <v>654</v>
      </c>
      <c r="M26" t="s">
        <v>657</v>
      </c>
    </row>
    <row r="27" spans="1:13" ht="17" hidden="1" thickBot="1">
      <c r="A27" s="457"/>
      <c r="B27" s="450"/>
      <c r="C27" s="3" t="s">
        <v>240</v>
      </c>
      <c r="D27" s="450"/>
      <c r="E27" s="3"/>
      <c r="F27" s="3"/>
      <c r="I27" s="1"/>
      <c r="K27" s="7" t="s">
        <v>287</v>
      </c>
      <c r="L27" s="53" t="s">
        <v>480</v>
      </c>
    </row>
    <row r="28" spans="1:13" ht="32" hidden="1" customHeight="1">
      <c r="A28" s="457"/>
      <c r="B28" s="450"/>
      <c r="C28" s="3" t="s">
        <v>241</v>
      </c>
      <c r="D28" s="450"/>
      <c r="E28" s="3" t="s">
        <v>391</v>
      </c>
      <c r="F28" s="3" t="s">
        <v>564</v>
      </c>
      <c r="G28" s="3" t="s">
        <v>34</v>
      </c>
      <c r="H28" s="3" t="s">
        <v>37</v>
      </c>
      <c r="I28" s="1" t="s">
        <v>40</v>
      </c>
      <c r="K28" s="7" t="s">
        <v>1</v>
      </c>
      <c r="L28" s="53" t="s">
        <v>480</v>
      </c>
    </row>
    <row r="29" spans="1:13" ht="17" hidden="1" thickBot="1">
      <c r="A29" s="457"/>
      <c r="B29" s="450"/>
      <c r="C29" s="3"/>
      <c r="D29" s="451"/>
      <c r="E29" s="3"/>
      <c r="F29" s="3"/>
      <c r="I29" s="35"/>
      <c r="K29" s="30" t="s">
        <v>5</v>
      </c>
      <c r="L29" s="53" t="s">
        <v>480</v>
      </c>
    </row>
    <row r="30" spans="1:13" ht="37" customHeight="1">
      <c r="A30" s="456" t="s">
        <v>302</v>
      </c>
      <c r="B30" s="452">
        <v>24</v>
      </c>
      <c r="C30" s="452" t="s">
        <v>392</v>
      </c>
      <c r="D30" s="452" t="s">
        <v>481</v>
      </c>
      <c r="E30" s="4" t="s">
        <v>390</v>
      </c>
      <c r="F30" s="11" t="s">
        <v>303</v>
      </c>
      <c r="G30" s="11" t="s">
        <v>305</v>
      </c>
      <c r="H30" s="11" t="s">
        <v>306</v>
      </c>
      <c r="I30" s="17" t="s">
        <v>307</v>
      </c>
      <c r="J30" s="8" t="s">
        <v>655</v>
      </c>
      <c r="K30" s="36" t="s">
        <v>271</v>
      </c>
      <c r="L30" s="51" t="s">
        <v>481</v>
      </c>
      <c r="M30" t="s">
        <v>657</v>
      </c>
    </row>
    <row r="31" spans="1:13" ht="33" hidden="1" customHeight="1">
      <c r="A31" s="457"/>
      <c r="B31" s="450"/>
      <c r="C31" s="450"/>
      <c r="D31" s="450"/>
      <c r="E31" s="3" t="s">
        <v>393</v>
      </c>
      <c r="F31" s="3" t="s">
        <v>304</v>
      </c>
      <c r="G31" s="3" t="s">
        <v>308</v>
      </c>
      <c r="H31" s="3" t="s">
        <v>309</v>
      </c>
      <c r="I31" s="35" t="s">
        <v>204</v>
      </c>
      <c r="K31" s="36" t="s">
        <v>97</v>
      </c>
      <c r="L31" s="51" t="s">
        <v>481</v>
      </c>
    </row>
    <row r="32" spans="1:13" ht="51" customHeight="1" thickBot="1">
      <c r="A32" s="457"/>
      <c r="B32" s="450"/>
      <c r="C32" s="450"/>
      <c r="D32" s="450"/>
      <c r="E32" s="3" t="s">
        <v>386</v>
      </c>
      <c r="F32" s="7" t="s">
        <v>5</v>
      </c>
      <c r="G32" s="7" t="s">
        <v>310</v>
      </c>
      <c r="H32" s="7" t="s">
        <v>311</v>
      </c>
      <c r="I32" s="36" t="s">
        <v>312</v>
      </c>
      <c r="J32" s="8" t="s">
        <v>655</v>
      </c>
      <c r="K32" s="36" t="s">
        <v>273</v>
      </c>
      <c r="L32" s="51" t="s">
        <v>481</v>
      </c>
      <c r="M32" t="s">
        <v>657</v>
      </c>
    </row>
    <row r="33" spans="1:13">
      <c r="A33" s="456" t="s">
        <v>299</v>
      </c>
      <c r="B33" s="452">
        <v>38</v>
      </c>
      <c r="C33" s="452" t="s">
        <v>470</v>
      </c>
      <c r="D33" s="452" t="s">
        <v>472</v>
      </c>
      <c r="E33" s="4" t="s">
        <v>394</v>
      </c>
      <c r="F33" s="11" t="s">
        <v>251</v>
      </c>
      <c r="G33" s="26" t="s">
        <v>507</v>
      </c>
      <c r="H33" s="11" t="s">
        <v>514</v>
      </c>
      <c r="I33" s="20"/>
      <c r="J33" s="8" t="s">
        <v>655</v>
      </c>
      <c r="K33" s="36" t="s">
        <v>5</v>
      </c>
      <c r="L33" s="53" t="s">
        <v>472</v>
      </c>
    </row>
    <row r="34" spans="1:13">
      <c r="A34" s="457"/>
      <c r="B34" s="450"/>
      <c r="C34" s="450"/>
      <c r="D34" s="450"/>
      <c r="E34" s="3" t="s">
        <v>378</v>
      </c>
      <c r="F34" s="7" t="s">
        <v>2</v>
      </c>
      <c r="G34" s="7" t="s">
        <v>508</v>
      </c>
      <c r="H34" s="7" t="s">
        <v>515</v>
      </c>
      <c r="I34" s="8"/>
      <c r="J34" s="8" t="s">
        <v>656</v>
      </c>
      <c r="K34" s="36" t="s">
        <v>2</v>
      </c>
      <c r="L34" s="53" t="s">
        <v>472</v>
      </c>
    </row>
    <row r="35" spans="1:13">
      <c r="A35" s="457"/>
      <c r="B35" s="450"/>
      <c r="C35" s="450"/>
      <c r="D35" s="450"/>
      <c r="E35" s="33" t="s">
        <v>379</v>
      </c>
      <c r="F35" s="7" t="s">
        <v>300</v>
      </c>
      <c r="G35" s="7" t="s">
        <v>509</v>
      </c>
      <c r="H35" s="7" t="s">
        <v>516</v>
      </c>
      <c r="I35" s="8"/>
      <c r="J35" s="8" t="s">
        <v>655</v>
      </c>
      <c r="K35" s="36" t="s">
        <v>3</v>
      </c>
      <c r="L35" s="53" t="s">
        <v>472</v>
      </c>
    </row>
    <row r="36" spans="1:13">
      <c r="A36" s="457"/>
      <c r="B36" s="450"/>
      <c r="C36" s="450"/>
      <c r="D36" s="450"/>
      <c r="E36" s="3" t="s">
        <v>395</v>
      </c>
      <c r="F36" s="7" t="s">
        <v>301</v>
      </c>
      <c r="G36" s="7" t="s">
        <v>510</v>
      </c>
      <c r="H36" s="7" t="s">
        <v>517</v>
      </c>
      <c r="I36" s="8"/>
      <c r="J36" s="8" t="s">
        <v>656</v>
      </c>
      <c r="K36" s="36" t="s">
        <v>117</v>
      </c>
      <c r="L36" s="53" t="s">
        <v>472</v>
      </c>
    </row>
    <row r="37" spans="1:13">
      <c r="A37" s="457"/>
      <c r="B37" s="450"/>
      <c r="C37" s="450"/>
      <c r="D37" s="450"/>
      <c r="E37" s="33" t="s">
        <v>396</v>
      </c>
      <c r="F37" s="7" t="s">
        <v>287</v>
      </c>
      <c r="G37" s="7" t="s">
        <v>511</v>
      </c>
      <c r="H37" s="7" t="s">
        <v>518</v>
      </c>
      <c r="I37" s="8"/>
      <c r="J37" s="8" t="s">
        <v>655</v>
      </c>
      <c r="K37" s="36" t="s">
        <v>98</v>
      </c>
      <c r="L37" s="53" t="s">
        <v>472</v>
      </c>
    </row>
    <row r="38" spans="1:13">
      <c r="A38" s="457"/>
      <c r="B38" s="450"/>
      <c r="C38" s="450"/>
      <c r="D38" s="450"/>
      <c r="E38" s="3" t="s">
        <v>397</v>
      </c>
      <c r="F38" s="7" t="s">
        <v>1</v>
      </c>
      <c r="G38" s="7" t="s">
        <v>512</v>
      </c>
      <c r="H38" s="7" t="s">
        <v>519</v>
      </c>
      <c r="I38" s="7"/>
      <c r="J38" s="8" t="s">
        <v>655</v>
      </c>
      <c r="K38" s="36" t="s">
        <v>287</v>
      </c>
      <c r="L38" s="53" t="s">
        <v>472</v>
      </c>
    </row>
    <row r="39" spans="1:13" ht="17" thickBot="1">
      <c r="A39" s="458"/>
      <c r="B39" s="451"/>
      <c r="C39" s="451"/>
      <c r="D39" s="451"/>
      <c r="E39" s="6" t="s">
        <v>383</v>
      </c>
      <c r="F39" s="30" t="s">
        <v>5</v>
      </c>
      <c r="G39" s="30" t="s">
        <v>513</v>
      </c>
      <c r="H39" s="30" t="s">
        <v>520</v>
      </c>
      <c r="I39" s="22"/>
      <c r="J39" s="8" t="s">
        <v>656</v>
      </c>
      <c r="K39" s="36" t="s">
        <v>121</v>
      </c>
      <c r="L39" s="53" t="s">
        <v>472</v>
      </c>
    </row>
    <row r="40" spans="1:13" ht="19" customHeight="1">
      <c r="A40" s="459" t="s">
        <v>270</v>
      </c>
      <c r="B40" s="454">
        <v>66</v>
      </c>
      <c r="C40" s="450" t="s">
        <v>471</v>
      </c>
      <c r="D40" s="452" t="s">
        <v>482</v>
      </c>
      <c r="E40" s="14" t="s">
        <v>398</v>
      </c>
      <c r="F40" s="36" t="s">
        <v>271</v>
      </c>
      <c r="G40" s="7" t="s">
        <v>274</v>
      </c>
      <c r="H40" s="7" t="s">
        <v>279</v>
      </c>
      <c r="I40" s="36" t="s">
        <v>284</v>
      </c>
      <c r="J40" s="8" t="s">
        <v>655</v>
      </c>
      <c r="K40" s="36" t="s">
        <v>288</v>
      </c>
      <c r="L40" s="53" t="s">
        <v>482</v>
      </c>
      <c r="M40" t="s">
        <v>657</v>
      </c>
    </row>
    <row r="41" spans="1:13" hidden="1">
      <c r="A41" s="459"/>
      <c r="B41" s="454"/>
      <c r="C41" s="450"/>
      <c r="D41" s="450"/>
      <c r="E41" s="14" t="s">
        <v>399</v>
      </c>
      <c r="F41" s="14" t="s">
        <v>272</v>
      </c>
      <c r="G41" s="3" t="s">
        <v>275</v>
      </c>
      <c r="H41" s="3" t="s">
        <v>280</v>
      </c>
      <c r="I41" s="35">
        <v>1</v>
      </c>
      <c r="K41" s="36" t="s">
        <v>1</v>
      </c>
      <c r="L41" s="53" t="s">
        <v>482</v>
      </c>
    </row>
    <row r="42" spans="1:13">
      <c r="A42" s="459"/>
      <c r="B42" s="454"/>
      <c r="C42" s="450"/>
      <c r="D42" s="450"/>
      <c r="E42" s="3" t="s">
        <v>373</v>
      </c>
      <c r="F42" s="36" t="s">
        <v>97</v>
      </c>
      <c r="G42" s="7" t="s">
        <v>276</v>
      </c>
      <c r="H42" s="7" t="s">
        <v>281</v>
      </c>
      <c r="I42" s="36">
        <v>1</v>
      </c>
      <c r="J42" s="8" t="s">
        <v>656</v>
      </c>
      <c r="K42" s="36" t="s">
        <v>5</v>
      </c>
      <c r="L42" s="53" t="s">
        <v>482</v>
      </c>
      <c r="M42" t="s">
        <v>657</v>
      </c>
    </row>
    <row r="43" spans="1:13">
      <c r="A43" s="459"/>
      <c r="B43" s="454"/>
      <c r="C43" s="450"/>
      <c r="D43" s="450"/>
      <c r="E43" s="3" t="s">
        <v>388</v>
      </c>
      <c r="F43" s="36" t="s">
        <v>273</v>
      </c>
      <c r="G43" s="7" t="s">
        <v>277</v>
      </c>
      <c r="H43" s="7" t="s">
        <v>282</v>
      </c>
      <c r="I43" s="36" t="s">
        <v>285</v>
      </c>
      <c r="J43" s="8" t="s">
        <v>655</v>
      </c>
      <c r="K43" s="36" t="s">
        <v>289</v>
      </c>
      <c r="L43" s="53" t="s">
        <v>482</v>
      </c>
      <c r="M43" t="s">
        <v>657</v>
      </c>
    </row>
    <row r="44" spans="1:13" ht="17" thickBot="1">
      <c r="A44" s="459"/>
      <c r="B44" s="454"/>
      <c r="C44" s="450"/>
      <c r="D44" s="450"/>
      <c r="E44" s="3" t="s">
        <v>383</v>
      </c>
      <c r="F44" s="36" t="s">
        <v>5</v>
      </c>
      <c r="G44" s="7" t="s">
        <v>278</v>
      </c>
      <c r="H44" s="7" t="s">
        <v>283</v>
      </c>
      <c r="I44" s="36">
        <v>1</v>
      </c>
      <c r="J44" s="8" t="s">
        <v>656</v>
      </c>
      <c r="K44" s="7" t="s">
        <v>303</v>
      </c>
      <c r="L44" s="53" t="s">
        <v>482</v>
      </c>
      <c r="M44" t="s">
        <v>657</v>
      </c>
    </row>
    <row r="45" spans="1:13" ht="17" hidden="1" thickBot="1">
      <c r="A45" s="460"/>
      <c r="B45" s="455"/>
      <c r="C45" s="451"/>
      <c r="D45" s="451"/>
      <c r="E45" s="6"/>
      <c r="F45" s="15"/>
      <c r="G45" s="6"/>
      <c r="H45" s="6"/>
      <c r="I45" s="37"/>
      <c r="K45" s="7" t="s">
        <v>408</v>
      </c>
      <c r="L45" s="53" t="s">
        <v>482</v>
      </c>
    </row>
    <row r="46" spans="1:13" ht="19" customHeight="1">
      <c r="A46" s="453" t="s">
        <v>286</v>
      </c>
      <c r="B46" s="453">
        <v>30</v>
      </c>
      <c r="C46" s="452" t="s">
        <v>473</v>
      </c>
      <c r="D46" s="452" t="s">
        <v>483</v>
      </c>
      <c r="E46" s="3" t="s">
        <v>378</v>
      </c>
      <c r="F46" s="36" t="s">
        <v>2</v>
      </c>
      <c r="G46" s="7" t="s">
        <v>521</v>
      </c>
      <c r="H46" s="7" t="s">
        <v>531</v>
      </c>
      <c r="I46" s="36" t="s">
        <v>290</v>
      </c>
      <c r="J46" s="8" t="s">
        <v>656</v>
      </c>
      <c r="K46" s="7" t="s">
        <v>409</v>
      </c>
      <c r="L46" s="51" t="s">
        <v>652</v>
      </c>
      <c r="M46" t="s">
        <v>657</v>
      </c>
    </row>
    <row r="47" spans="1:13" ht="17">
      <c r="A47" s="454"/>
      <c r="B47" s="454"/>
      <c r="C47" s="450"/>
      <c r="D47" s="450"/>
      <c r="E47" s="3" t="s">
        <v>400</v>
      </c>
      <c r="F47" s="36" t="s">
        <v>3</v>
      </c>
      <c r="G47" s="7" t="s">
        <v>522</v>
      </c>
      <c r="H47" s="7" t="s">
        <v>532</v>
      </c>
      <c r="I47" s="36" t="s">
        <v>291</v>
      </c>
      <c r="J47" s="8" t="s">
        <v>656</v>
      </c>
      <c r="K47" s="7" t="s">
        <v>1</v>
      </c>
      <c r="L47" s="51" t="s">
        <v>652</v>
      </c>
      <c r="M47" t="s">
        <v>657</v>
      </c>
    </row>
    <row r="48" spans="1:13" ht="17">
      <c r="A48" s="454"/>
      <c r="B48" s="454"/>
      <c r="C48" s="450"/>
      <c r="D48" s="450"/>
      <c r="E48" s="3" t="s">
        <v>401</v>
      </c>
      <c r="F48" s="36" t="s">
        <v>117</v>
      </c>
      <c r="G48" s="7" t="s">
        <v>523</v>
      </c>
      <c r="H48" s="7" t="s">
        <v>533</v>
      </c>
      <c r="I48" s="36" t="s">
        <v>292</v>
      </c>
      <c r="J48" s="8" t="s">
        <v>656</v>
      </c>
      <c r="K48" s="7" t="s">
        <v>410</v>
      </c>
      <c r="L48" s="51" t="s">
        <v>652</v>
      </c>
      <c r="M48" t="s">
        <v>657</v>
      </c>
    </row>
    <row r="49" spans="1:13" ht="17">
      <c r="A49" s="454"/>
      <c r="B49" s="454"/>
      <c r="C49" s="450"/>
      <c r="D49" s="450"/>
      <c r="E49" s="3" t="s">
        <v>395</v>
      </c>
      <c r="F49" s="36" t="s">
        <v>98</v>
      </c>
      <c r="G49" s="7" t="s">
        <v>524</v>
      </c>
      <c r="H49" s="7" t="s">
        <v>534</v>
      </c>
      <c r="I49" s="36" t="s">
        <v>259</v>
      </c>
      <c r="J49" s="8" t="s">
        <v>656</v>
      </c>
      <c r="K49" s="7" t="s">
        <v>411</v>
      </c>
      <c r="L49" s="51" t="s">
        <v>652</v>
      </c>
      <c r="M49" t="s">
        <v>657</v>
      </c>
    </row>
    <row r="50" spans="1:13" ht="17">
      <c r="A50" s="454"/>
      <c r="B50" s="454"/>
      <c r="C50" s="450"/>
      <c r="D50" s="450"/>
      <c r="E50" s="3" t="s">
        <v>382</v>
      </c>
      <c r="F50" s="36" t="s">
        <v>287</v>
      </c>
      <c r="G50" s="7" t="s">
        <v>525</v>
      </c>
      <c r="H50" s="7" t="s">
        <v>535</v>
      </c>
      <c r="I50" s="36" t="s">
        <v>293</v>
      </c>
      <c r="J50" s="8" t="s">
        <v>656</v>
      </c>
      <c r="K50" s="7" t="s">
        <v>315</v>
      </c>
      <c r="L50" s="51" t="s">
        <v>652</v>
      </c>
      <c r="M50" t="s">
        <v>657</v>
      </c>
    </row>
    <row r="51" spans="1:13" ht="17">
      <c r="A51" s="454"/>
      <c r="B51" s="454"/>
      <c r="C51" s="450"/>
      <c r="D51" s="450"/>
      <c r="E51" s="3" t="s">
        <v>402</v>
      </c>
      <c r="F51" s="36" t="s">
        <v>121</v>
      </c>
      <c r="G51" s="7" t="s">
        <v>526</v>
      </c>
      <c r="H51" s="7" t="s">
        <v>536</v>
      </c>
      <c r="I51" s="36" t="s">
        <v>294</v>
      </c>
      <c r="J51" s="8" t="s">
        <v>656</v>
      </c>
      <c r="K51" s="7" t="s">
        <v>300</v>
      </c>
      <c r="L51" s="51" t="s">
        <v>652</v>
      </c>
      <c r="M51" t="s">
        <v>657</v>
      </c>
    </row>
    <row r="52" spans="1:13" ht="17">
      <c r="A52" s="454"/>
      <c r="B52" s="454"/>
      <c r="C52" s="450"/>
      <c r="D52" s="450"/>
      <c r="E52" s="3" t="s">
        <v>403</v>
      </c>
      <c r="F52" s="36" t="s">
        <v>288</v>
      </c>
      <c r="G52" s="7" t="s">
        <v>527</v>
      </c>
      <c r="H52" s="7" t="s">
        <v>537</v>
      </c>
      <c r="I52" s="36" t="s">
        <v>295</v>
      </c>
      <c r="J52" s="8" t="s">
        <v>656</v>
      </c>
      <c r="K52" s="7" t="s">
        <v>413</v>
      </c>
      <c r="L52" s="51" t="s">
        <v>652</v>
      </c>
      <c r="M52" t="s">
        <v>657</v>
      </c>
    </row>
    <row r="53" spans="1:13" ht="17">
      <c r="A53" s="454"/>
      <c r="B53" s="454"/>
      <c r="C53" s="450"/>
      <c r="D53" s="450"/>
      <c r="E53" s="3" t="s">
        <v>377</v>
      </c>
      <c r="F53" s="36" t="s">
        <v>1</v>
      </c>
      <c r="G53" s="7" t="s">
        <v>528</v>
      </c>
      <c r="H53" s="7" t="s">
        <v>538</v>
      </c>
      <c r="I53" s="36" t="s">
        <v>296</v>
      </c>
      <c r="J53" s="8" t="s">
        <v>656</v>
      </c>
      <c r="K53" s="7" t="s">
        <v>414</v>
      </c>
      <c r="L53" s="51" t="s">
        <v>652</v>
      </c>
      <c r="M53" t="s">
        <v>657</v>
      </c>
    </row>
    <row r="54" spans="1:13" ht="17">
      <c r="A54" s="454"/>
      <c r="B54" s="454"/>
      <c r="C54" s="450"/>
      <c r="D54" s="450"/>
      <c r="E54" s="3" t="s">
        <v>383</v>
      </c>
      <c r="F54" s="36" t="s">
        <v>5</v>
      </c>
      <c r="G54" s="7" t="s">
        <v>529</v>
      </c>
      <c r="H54" s="7" t="s">
        <v>539</v>
      </c>
      <c r="I54" s="36" t="s">
        <v>297</v>
      </c>
      <c r="J54" s="8" t="s">
        <v>656</v>
      </c>
      <c r="K54" s="7" t="s">
        <v>263</v>
      </c>
      <c r="L54" s="51" t="s">
        <v>652</v>
      </c>
      <c r="M54" t="s">
        <v>657</v>
      </c>
    </row>
    <row r="55" spans="1:13" ht="18" thickBot="1">
      <c r="A55" s="455"/>
      <c r="B55" s="455"/>
      <c r="C55" s="451"/>
      <c r="D55" s="451"/>
      <c r="E55" s="3" t="s">
        <v>404</v>
      </c>
      <c r="F55" s="36" t="s">
        <v>289</v>
      </c>
      <c r="G55" s="7" t="s">
        <v>530</v>
      </c>
      <c r="H55" s="7" t="s">
        <v>540</v>
      </c>
      <c r="I55" s="36" t="s">
        <v>298</v>
      </c>
      <c r="J55" s="8" t="s">
        <v>656</v>
      </c>
      <c r="K55" s="7" t="s">
        <v>98</v>
      </c>
      <c r="L55" s="51" t="s">
        <v>652</v>
      </c>
      <c r="M55" t="s">
        <v>657</v>
      </c>
    </row>
    <row r="56" spans="1:13" hidden="1">
      <c r="A56" s="456" t="s">
        <v>41</v>
      </c>
      <c r="B56" s="452">
        <v>102</v>
      </c>
      <c r="C56" s="4" t="s">
        <v>244</v>
      </c>
      <c r="D56" s="452" t="s">
        <v>484</v>
      </c>
      <c r="E56" s="4" t="s">
        <v>420</v>
      </c>
      <c r="F56" s="4" t="s">
        <v>405</v>
      </c>
      <c r="G56" s="4" t="s">
        <v>42</v>
      </c>
      <c r="H56" s="4" t="s">
        <v>64</v>
      </c>
      <c r="I56" s="5"/>
      <c r="K56" s="7" t="s">
        <v>416</v>
      </c>
      <c r="L56" s="53" t="s">
        <v>484</v>
      </c>
    </row>
    <row r="57" spans="1:13">
      <c r="A57" s="457"/>
      <c r="B57" s="450"/>
      <c r="C57" s="3" t="s">
        <v>242</v>
      </c>
      <c r="D57" s="450"/>
      <c r="E57" s="3" t="s">
        <v>404</v>
      </c>
      <c r="F57" s="7" t="s">
        <v>303</v>
      </c>
      <c r="G57" s="7" t="s">
        <v>43</v>
      </c>
      <c r="H57" s="7" t="s">
        <v>65</v>
      </c>
      <c r="I57" s="3"/>
      <c r="J57" s="8" t="s">
        <v>656</v>
      </c>
      <c r="K57" s="7" t="s">
        <v>5</v>
      </c>
      <c r="L57" s="53" t="s">
        <v>485</v>
      </c>
      <c r="M57" t="s">
        <v>657</v>
      </c>
    </row>
    <row r="58" spans="1:13" ht="16" hidden="1" customHeight="1">
      <c r="A58" s="457"/>
      <c r="B58" s="450"/>
      <c r="C58" s="3" t="s">
        <v>243</v>
      </c>
      <c r="D58" s="450"/>
      <c r="E58" s="3" t="s">
        <v>421</v>
      </c>
      <c r="F58" s="3" t="s">
        <v>406</v>
      </c>
      <c r="G58" s="3" t="s">
        <v>44</v>
      </c>
      <c r="H58" s="3" t="s">
        <v>66</v>
      </c>
      <c r="I58" s="1" t="s">
        <v>86</v>
      </c>
      <c r="K58" s="60" t="s">
        <v>92</v>
      </c>
      <c r="L58" s="53" t="s">
        <v>484</v>
      </c>
    </row>
    <row r="59" spans="1:13" ht="16" hidden="1" customHeight="1">
      <c r="A59" s="457"/>
      <c r="B59" s="450"/>
      <c r="C59" s="3"/>
      <c r="D59" s="450"/>
      <c r="E59" s="3" t="s">
        <v>422</v>
      </c>
      <c r="F59" s="3" t="s">
        <v>407</v>
      </c>
      <c r="G59" s="3" t="s">
        <v>45</v>
      </c>
      <c r="H59" s="3" t="s">
        <v>67</v>
      </c>
      <c r="I59" s="1"/>
      <c r="K59" s="54"/>
      <c r="L59" s="53" t="s">
        <v>484</v>
      </c>
    </row>
    <row r="60" spans="1:13">
      <c r="A60" s="457"/>
      <c r="B60" s="450"/>
      <c r="C60" s="3"/>
      <c r="D60" s="450"/>
      <c r="E60" s="3" t="s">
        <v>423</v>
      </c>
      <c r="F60" s="7" t="s">
        <v>408</v>
      </c>
      <c r="G60" s="7" t="s">
        <v>46</v>
      </c>
      <c r="H60" s="7" t="s">
        <v>68</v>
      </c>
      <c r="I60" s="7" t="s">
        <v>87</v>
      </c>
      <c r="J60" s="8" t="s">
        <v>655</v>
      </c>
      <c r="K60" s="54"/>
      <c r="L60" s="53" t="s">
        <v>485</v>
      </c>
      <c r="M60" t="s">
        <v>657</v>
      </c>
    </row>
    <row r="61" spans="1:13">
      <c r="A61" s="457"/>
      <c r="B61" s="450"/>
      <c r="C61" s="3"/>
      <c r="D61" s="450"/>
      <c r="E61" s="3" t="s">
        <v>424</v>
      </c>
      <c r="F61" s="7" t="s">
        <v>409</v>
      </c>
      <c r="G61" s="7" t="s">
        <v>47</v>
      </c>
      <c r="H61" s="7" t="s">
        <v>69</v>
      </c>
      <c r="I61" s="36"/>
      <c r="J61" s="8" t="s">
        <v>656</v>
      </c>
      <c r="K61" s="54"/>
      <c r="L61" s="53" t="s">
        <v>485</v>
      </c>
      <c r="M61" t="s">
        <v>657</v>
      </c>
    </row>
    <row r="62" spans="1:13" ht="17" thickBot="1">
      <c r="A62" s="457"/>
      <c r="B62" s="450"/>
      <c r="C62" s="3"/>
      <c r="D62" s="450"/>
      <c r="E62" s="3" t="s">
        <v>377</v>
      </c>
      <c r="F62" s="7" t="s">
        <v>1</v>
      </c>
      <c r="G62" s="7" t="s">
        <v>48</v>
      </c>
      <c r="H62" s="7" t="s">
        <v>70</v>
      </c>
      <c r="I62" s="7" t="s">
        <v>88</v>
      </c>
      <c r="J62" s="8" t="s">
        <v>656</v>
      </c>
      <c r="K62" s="55"/>
      <c r="L62" s="53" t="s">
        <v>485</v>
      </c>
      <c r="M62" t="s">
        <v>657</v>
      </c>
    </row>
    <row r="63" spans="1:13">
      <c r="A63" s="457"/>
      <c r="B63" s="450"/>
      <c r="C63" s="3"/>
      <c r="D63" s="450"/>
      <c r="E63" s="3" t="s">
        <v>425</v>
      </c>
      <c r="F63" s="7" t="s">
        <v>410</v>
      </c>
      <c r="G63" s="7" t="s">
        <v>49</v>
      </c>
      <c r="H63" s="7" t="s">
        <v>71</v>
      </c>
      <c r="I63" s="7" t="s">
        <v>89</v>
      </c>
      <c r="J63" s="8" t="s">
        <v>656</v>
      </c>
      <c r="K63" s="7" t="s">
        <v>2</v>
      </c>
      <c r="L63" s="53" t="s">
        <v>485</v>
      </c>
      <c r="M63" t="s">
        <v>657</v>
      </c>
    </row>
    <row r="64" spans="1:13">
      <c r="A64" s="457"/>
      <c r="B64" s="450"/>
      <c r="C64" s="3"/>
      <c r="D64" s="450"/>
      <c r="E64" s="3" t="s">
        <v>426</v>
      </c>
      <c r="F64" s="7" t="s">
        <v>411</v>
      </c>
      <c r="G64" s="7" t="s">
        <v>50</v>
      </c>
      <c r="H64" s="7" t="s">
        <v>72</v>
      </c>
      <c r="I64" s="36"/>
      <c r="J64" s="8" t="s">
        <v>655</v>
      </c>
      <c r="K64" s="7" t="s">
        <v>3</v>
      </c>
      <c r="L64" s="53" t="s">
        <v>485</v>
      </c>
      <c r="M64" t="s">
        <v>657</v>
      </c>
    </row>
    <row r="65" spans="1:13">
      <c r="A65" s="457"/>
      <c r="B65" s="450"/>
      <c r="C65" s="3"/>
      <c r="D65" s="450"/>
      <c r="E65" s="3" t="s">
        <v>394</v>
      </c>
      <c r="F65" s="7" t="s">
        <v>315</v>
      </c>
      <c r="G65" s="7" t="s">
        <v>51</v>
      </c>
      <c r="H65" s="7" t="s">
        <v>73</v>
      </c>
      <c r="I65" s="7"/>
      <c r="J65" s="8" t="s">
        <v>655</v>
      </c>
      <c r="K65" s="7" t="s">
        <v>4</v>
      </c>
      <c r="L65" s="53" t="s">
        <v>485</v>
      </c>
      <c r="M65" t="s">
        <v>657</v>
      </c>
    </row>
    <row r="66" spans="1:13" ht="16" hidden="1" customHeight="1">
      <c r="A66" s="457"/>
      <c r="B66" s="450"/>
      <c r="C66" s="3"/>
      <c r="D66" s="450"/>
      <c r="E66" s="3" t="s">
        <v>427</v>
      </c>
      <c r="F66" s="3" t="s">
        <v>412</v>
      </c>
      <c r="G66" s="3" t="s">
        <v>52</v>
      </c>
      <c r="H66" s="3" t="s">
        <v>74</v>
      </c>
      <c r="I66" s="1"/>
      <c r="K66" s="7" t="s">
        <v>97</v>
      </c>
      <c r="L66" s="53" t="s">
        <v>484</v>
      </c>
    </row>
    <row r="67" spans="1:13">
      <c r="A67" s="457"/>
      <c r="B67" s="450"/>
      <c r="C67" s="3"/>
      <c r="D67" s="450"/>
      <c r="E67" s="3" t="s">
        <v>428</v>
      </c>
      <c r="F67" s="7" t="s">
        <v>300</v>
      </c>
      <c r="G67" s="7" t="s">
        <v>53</v>
      </c>
      <c r="H67" s="7" t="s">
        <v>75</v>
      </c>
      <c r="I67" s="7"/>
      <c r="J67" s="8" t="s">
        <v>656</v>
      </c>
      <c r="K67" s="7" t="s">
        <v>98</v>
      </c>
      <c r="L67" s="53" t="s">
        <v>485</v>
      </c>
      <c r="M67" t="s">
        <v>657</v>
      </c>
    </row>
    <row r="68" spans="1:13">
      <c r="A68" s="457"/>
      <c r="B68" s="450"/>
      <c r="C68" s="3"/>
      <c r="D68" s="450"/>
      <c r="E68" s="3" t="s">
        <v>429</v>
      </c>
      <c r="F68" s="7" t="s">
        <v>413</v>
      </c>
      <c r="G68" s="7" t="s">
        <v>54</v>
      </c>
      <c r="H68" s="7" t="s">
        <v>76</v>
      </c>
      <c r="I68" s="7" t="s">
        <v>86</v>
      </c>
      <c r="J68" s="8" t="s">
        <v>656</v>
      </c>
      <c r="K68" s="7" t="s">
        <v>5</v>
      </c>
      <c r="L68" s="53" t="s">
        <v>485</v>
      </c>
      <c r="M68" t="s">
        <v>657</v>
      </c>
    </row>
    <row r="69" spans="1:13">
      <c r="A69" s="457"/>
      <c r="B69" s="450"/>
      <c r="C69" s="3"/>
      <c r="D69" s="450"/>
      <c r="E69" s="3" t="s">
        <v>374</v>
      </c>
      <c r="F69" s="7" t="s">
        <v>414</v>
      </c>
      <c r="G69" s="7" t="s">
        <v>55</v>
      </c>
      <c r="H69" s="7" t="s">
        <v>77</v>
      </c>
      <c r="I69" s="7"/>
      <c r="J69" s="8" t="s">
        <v>656</v>
      </c>
      <c r="K69" s="7" t="s">
        <v>1</v>
      </c>
      <c r="L69" s="53" t="s">
        <v>485</v>
      </c>
      <c r="M69" t="s">
        <v>657</v>
      </c>
    </row>
    <row r="70" spans="1:13">
      <c r="A70" s="457"/>
      <c r="B70" s="450"/>
      <c r="C70" s="3"/>
      <c r="D70" s="450"/>
      <c r="E70" s="3" t="s">
        <v>430</v>
      </c>
      <c r="F70" s="7" t="s">
        <v>263</v>
      </c>
      <c r="G70" s="7" t="s">
        <v>56</v>
      </c>
      <c r="H70" s="7" t="s">
        <v>78</v>
      </c>
      <c r="I70" s="3"/>
      <c r="J70" s="8" t="s">
        <v>656</v>
      </c>
      <c r="K70" s="7" t="s">
        <v>99</v>
      </c>
      <c r="L70" s="53" t="s">
        <v>485</v>
      </c>
      <c r="M70" t="s">
        <v>657</v>
      </c>
    </row>
    <row r="71" spans="1:13" ht="16" hidden="1" customHeight="1">
      <c r="A71" s="457"/>
      <c r="B71" s="450"/>
      <c r="C71" s="3"/>
      <c r="D71" s="450"/>
      <c r="E71" s="3" t="s">
        <v>431</v>
      </c>
      <c r="F71" s="3" t="s">
        <v>415</v>
      </c>
      <c r="G71" s="3" t="s">
        <v>57</v>
      </c>
      <c r="H71" s="3" t="s">
        <v>79</v>
      </c>
      <c r="I71" s="1"/>
      <c r="K71" s="11" t="s">
        <v>5</v>
      </c>
      <c r="L71" s="53" t="s">
        <v>484</v>
      </c>
    </row>
    <row r="72" spans="1:13">
      <c r="A72" s="457"/>
      <c r="B72" s="450"/>
      <c r="C72" s="3"/>
      <c r="D72" s="450"/>
      <c r="E72" s="3" t="s">
        <v>432</v>
      </c>
      <c r="F72" s="7" t="s">
        <v>98</v>
      </c>
      <c r="G72" s="7" t="s">
        <v>58</v>
      </c>
      <c r="H72" s="7" t="s">
        <v>80</v>
      </c>
      <c r="I72" s="3"/>
      <c r="J72" s="8" t="s">
        <v>655</v>
      </c>
      <c r="K72" s="7" t="s">
        <v>414</v>
      </c>
      <c r="L72" s="53" t="s">
        <v>485</v>
      </c>
      <c r="M72" t="s">
        <v>657</v>
      </c>
    </row>
    <row r="73" spans="1:13">
      <c r="A73" s="457"/>
      <c r="B73" s="450"/>
      <c r="C73" s="3"/>
      <c r="D73" s="450"/>
      <c r="E73" s="3" t="s">
        <v>433</v>
      </c>
      <c r="F73" s="7" t="s">
        <v>416</v>
      </c>
      <c r="G73" s="7" t="s">
        <v>59</v>
      </c>
      <c r="H73" s="7" t="s">
        <v>81</v>
      </c>
      <c r="I73" s="3"/>
      <c r="J73" s="8" t="s">
        <v>655</v>
      </c>
      <c r="K73" s="7" t="s">
        <v>98</v>
      </c>
      <c r="L73" s="53" t="s">
        <v>485</v>
      </c>
      <c r="M73" t="s">
        <v>657</v>
      </c>
    </row>
    <row r="74" spans="1:13" hidden="1">
      <c r="A74" s="457"/>
      <c r="B74" s="450"/>
      <c r="C74" s="3"/>
      <c r="D74" s="450"/>
      <c r="E74" s="3" t="s">
        <v>434</v>
      </c>
      <c r="F74" s="3" t="s">
        <v>417</v>
      </c>
      <c r="G74" s="3" t="s">
        <v>60</v>
      </c>
      <c r="H74" s="3" t="s">
        <v>82</v>
      </c>
      <c r="I74" s="1"/>
      <c r="K74" s="11" t="s">
        <v>2</v>
      </c>
      <c r="L74" s="53" t="s">
        <v>484</v>
      </c>
    </row>
    <row r="75" spans="1:13" hidden="1">
      <c r="A75" s="457"/>
      <c r="B75" s="450"/>
      <c r="C75" s="3"/>
      <c r="D75" s="450"/>
      <c r="E75" s="3" t="s">
        <v>435</v>
      </c>
      <c r="F75" s="3" t="s">
        <v>418</v>
      </c>
      <c r="G75" s="3" t="s">
        <v>61</v>
      </c>
      <c r="H75" s="3" t="s">
        <v>83</v>
      </c>
      <c r="I75" s="1"/>
      <c r="K75" s="7" t="s">
        <v>1</v>
      </c>
      <c r="L75" s="53" t="s">
        <v>484</v>
      </c>
    </row>
    <row r="76" spans="1:13" hidden="1">
      <c r="A76" s="457"/>
      <c r="B76" s="450"/>
      <c r="C76" s="3"/>
      <c r="D76" s="450"/>
      <c r="E76" s="3" t="s">
        <v>436</v>
      </c>
      <c r="F76" s="3" t="s">
        <v>419</v>
      </c>
      <c r="G76" s="3" t="s">
        <v>62</v>
      </c>
      <c r="H76" s="3" t="s">
        <v>84</v>
      </c>
      <c r="I76" s="1" t="s">
        <v>90</v>
      </c>
      <c r="K76" s="7" t="s">
        <v>5</v>
      </c>
      <c r="L76" s="53" t="s">
        <v>484</v>
      </c>
    </row>
    <row r="77" spans="1:13" ht="17" thickBot="1">
      <c r="A77" s="457"/>
      <c r="B77" s="450"/>
      <c r="C77" s="3"/>
      <c r="D77" s="450"/>
      <c r="E77" s="3" t="s">
        <v>386</v>
      </c>
      <c r="F77" s="7" t="s">
        <v>5</v>
      </c>
      <c r="G77" s="7" t="s">
        <v>63</v>
      </c>
      <c r="H77" s="7" t="s">
        <v>85</v>
      </c>
      <c r="I77" s="7"/>
      <c r="J77" s="8" t="s">
        <v>655</v>
      </c>
      <c r="K77" s="7" t="s">
        <v>3</v>
      </c>
      <c r="L77" s="53" t="s">
        <v>485</v>
      </c>
      <c r="M77" t="s">
        <v>657</v>
      </c>
    </row>
    <row r="78" spans="1:13" ht="16" customHeight="1">
      <c r="A78" s="456" t="s">
        <v>91</v>
      </c>
      <c r="B78" s="452">
        <v>166</v>
      </c>
      <c r="C78" s="4" t="s">
        <v>245</v>
      </c>
      <c r="D78" s="452" t="s">
        <v>485</v>
      </c>
      <c r="E78" s="4" t="s">
        <v>437</v>
      </c>
      <c r="F78" s="60" t="s">
        <v>92</v>
      </c>
      <c r="G78" s="60" t="s">
        <v>541</v>
      </c>
      <c r="H78" s="60" t="s">
        <v>93</v>
      </c>
      <c r="I78" s="60" t="s">
        <v>94</v>
      </c>
      <c r="J78" s="8" t="s">
        <v>655</v>
      </c>
      <c r="K78" s="7" t="s">
        <v>117</v>
      </c>
      <c r="L78" s="53" t="s">
        <v>485</v>
      </c>
      <c r="M78" t="s">
        <v>657</v>
      </c>
    </row>
    <row r="79" spans="1:13">
      <c r="A79" s="457"/>
      <c r="B79" s="450"/>
      <c r="C79" s="3"/>
      <c r="D79" s="450"/>
      <c r="F79" s="54"/>
      <c r="G79" s="54"/>
      <c r="H79" s="54"/>
      <c r="I79" s="54"/>
      <c r="K79" s="7" t="s">
        <v>4</v>
      </c>
      <c r="L79" s="53" t="s">
        <v>485</v>
      </c>
      <c r="M79" t="s">
        <v>657</v>
      </c>
    </row>
    <row r="80" spans="1:13">
      <c r="A80" s="457"/>
      <c r="B80" s="450"/>
      <c r="C80" s="3" t="s">
        <v>247</v>
      </c>
      <c r="D80" s="450"/>
      <c r="F80" s="54"/>
      <c r="G80" s="54"/>
      <c r="H80" s="54"/>
      <c r="I80" s="54"/>
      <c r="K80" s="7" t="s">
        <v>98</v>
      </c>
    </row>
    <row r="81" spans="1:13">
      <c r="A81" s="457"/>
      <c r="B81" s="450"/>
      <c r="C81" s="3"/>
      <c r="D81" s="450"/>
      <c r="E81" s="38" t="s">
        <v>92</v>
      </c>
      <c r="F81" s="54"/>
      <c r="G81" s="54"/>
      <c r="H81" s="54"/>
      <c r="I81" s="54"/>
      <c r="J81" s="8" t="s">
        <v>655</v>
      </c>
      <c r="K81" s="7" t="s">
        <v>251</v>
      </c>
      <c r="L81" s="53" t="s">
        <v>485</v>
      </c>
      <c r="M81" t="s">
        <v>657</v>
      </c>
    </row>
    <row r="82" spans="1:13" ht="17" thickBot="1">
      <c r="A82" s="458"/>
      <c r="B82" s="451"/>
      <c r="C82" s="6" t="s">
        <v>246</v>
      </c>
      <c r="D82" s="451"/>
      <c r="E82" s="12"/>
      <c r="F82" s="55"/>
      <c r="G82" s="55"/>
      <c r="H82" s="55"/>
      <c r="I82" s="55"/>
      <c r="K82" s="7" t="s">
        <v>97</v>
      </c>
    </row>
    <row r="83" spans="1:13" ht="17" thickBot="1">
      <c r="A83" s="457" t="s">
        <v>95</v>
      </c>
      <c r="B83" s="450">
        <v>95</v>
      </c>
      <c r="C83" s="450" t="s">
        <v>96</v>
      </c>
      <c r="D83" s="450" t="s">
        <v>474</v>
      </c>
      <c r="E83" s="3" t="s">
        <v>378</v>
      </c>
      <c r="F83" s="7" t="s">
        <v>2</v>
      </c>
      <c r="G83" s="7" t="s">
        <v>100</v>
      </c>
      <c r="H83" s="7" t="s">
        <v>106</v>
      </c>
      <c r="I83" s="7" t="s">
        <v>114</v>
      </c>
      <c r="J83" s="8" t="s">
        <v>656</v>
      </c>
      <c r="K83" s="30" t="s">
        <v>252</v>
      </c>
      <c r="L83" s="53" t="s">
        <v>474</v>
      </c>
    </row>
    <row r="84" spans="1:13">
      <c r="A84" s="457"/>
      <c r="B84" s="450"/>
      <c r="C84" s="450"/>
      <c r="D84" s="450"/>
      <c r="E84" s="3" t="s">
        <v>400</v>
      </c>
      <c r="F84" s="7" t="s">
        <v>3</v>
      </c>
      <c r="G84" s="7" t="s">
        <v>101</v>
      </c>
      <c r="H84" s="7" t="s">
        <v>107</v>
      </c>
      <c r="I84" s="7" t="s">
        <v>114</v>
      </c>
      <c r="J84" s="8" t="s">
        <v>656</v>
      </c>
      <c r="K84" s="11" t="s">
        <v>443</v>
      </c>
      <c r="L84" s="53" t="s">
        <v>474</v>
      </c>
    </row>
    <row r="85" spans="1:13">
      <c r="A85" s="457"/>
      <c r="B85" s="450"/>
      <c r="C85" s="450"/>
      <c r="D85" s="450"/>
      <c r="E85" s="3" t="s">
        <v>438</v>
      </c>
      <c r="F85" s="7" t="s">
        <v>4</v>
      </c>
      <c r="G85" s="7" t="s">
        <v>102</v>
      </c>
      <c r="H85" s="7" t="s">
        <v>108</v>
      </c>
      <c r="I85" s="7" t="s">
        <v>114</v>
      </c>
      <c r="J85" s="8" t="s">
        <v>655</v>
      </c>
      <c r="K85" s="7" t="s">
        <v>2</v>
      </c>
      <c r="L85" s="53" t="s">
        <v>474</v>
      </c>
    </row>
    <row r="86" spans="1:13">
      <c r="A86" s="457"/>
      <c r="B86" s="450"/>
      <c r="C86" s="450"/>
      <c r="D86" s="450"/>
      <c r="E86" s="3" t="s">
        <v>439</v>
      </c>
      <c r="F86" s="7" t="s">
        <v>97</v>
      </c>
      <c r="G86" s="7" t="s">
        <v>103</v>
      </c>
      <c r="H86" s="7" t="s">
        <v>109</v>
      </c>
      <c r="I86" s="7" t="s">
        <v>115</v>
      </c>
      <c r="J86" s="8" t="s">
        <v>655</v>
      </c>
      <c r="K86" s="7" t="s">
        <v>3</v>
      </c>
      <c r="L86" s="53" t="s">
        <v>474</v>
      </c>
    </row>
    <row r="87" spans="1:13">
      <c r="A87" s="457"/>
      <c r="B87" s="450"/>
      <c r="C87" s="450"/>
      <c r="D87" s="450"/>
      <c r="E87" s="3" t="s">
        <v>432</v>
      </c>
      <c r="F87" s="7" t="s">
        <v>98</v>
      </c>
      <c r="G87" s="7" t="s">
        <v>584</v>
      </c>
      <c r="H87" s="7" t="s">
        <v>110</v>
      </c>
      <c r="I87" s="7" t="s">
        <v>114</v>
      </c>
      <c r="J87" s="8" t="s">
        <v>655</v>
      </c>
      <c r="K87" s="7" t="s">
        <v>117</v>
      </c>
      <c r="L87" s="53" t="s">
        <v>474</v>
      </c>
    </row>
    <row r="88" spans="1:13">
      <c r="A88" s="457"/>
      <c r="B88" s="450"/>
      <c r="C88" s="450"/>
      <c r="D88" s="450"/>
      <c r="E88" s="3" t="s">
        <v>386</v>
      </c>
      <c r="F88" s="7" t="s">
        <v>5</v>
      </c>
      <c r="G88" s="7" t="s">
        <v>104</v>
      </c>
      <c r="H88" s="7" t="s">
        <v>111</v>
      </c>
      <c r="I88" s="7" t="s">
        <v>114</v>
      </c>
      <c r="J88" s="8" t="s">
        <v>655</v>
      </c>
      <c r="K88" s="7" t="s">
        <v>4</v>
      </c>
      <c r="L88" s="53" t="s">
        <v>474</v>
      </c>
    </row>
    <row r="89" spans="1:13">
      <c r="A89" s="457"/>
      <c r="B89" s="450"/>
      <c r="C89" s="450"/>
      <c r="D89" s="450"/>
      <c r="E89" s="3" t="s">
        <v>397</v>
      </c>
      <c r="F89" s="7" t="s">
        <v>1</v>
      </c>
      <c r="G89" s="7" t="s">
        <v>105</v>
      </c>
      <c r="H89" s="7" t="s">
        <v>112</v>
      </c>
      <c r="I89" s="7" t="s">
        <v>114</v>
      </c>
      <c r="J89" s="8" t="s">
        <v>655</v>
      </c>
      <c r="K89" s="7" t="s">
        <v>118</v>
      </c>
      <c r="L89" s="53" t="s">
        <v>474</v>
      </c>
    </row>
    <row r="90" spans="1:13" ht="17" thickBot="1">
      <c r="A90" s="458"/>
      <c r="B90" s="451"/>
      <c r="C90" s="451"/>
      <c r="D90" s="451"/>
      <c r="E90" s="3" t="s">
        <v>440</v>
      </c>
      <c r="F90" s="7" t="s">
        <v>99</v>
      </c>
      <c r="G90" s="7" t="s">
        <v>608</v>
      </c>
      <c r="H90" s="7" t="s">
        <v>113</v>
      </c>
      <c r="I90" s="7" t="s">
        <v>114</v>
      </c>
      <c r="J90" s="8" t="s">
        <v>655</v>
      </c>
      <c r="K90" s="7" t="s">
        <v>98</v>
      </c>
      <c r="L90" s="53" t="s">
        <v>474</v>
      </c>
    </row>
    <row r="91" spans="1:13" ht="32">
      <c r="A91" s="456" t="s">
        <v>333</v>
      </c>
      <c r="B91" s="452">
        <v>38</v>
      </c>
      <c r="C91" s="452" t="s">
        <v>334</v>
      </c>
      <c r="D91" s="452" t="s">
        <v>475</v>
      </c>
      <c r="E91" s="4" t="s">
        <v>383</v>
      </c>
      <c r="F91" s="11" t="s">
        <v>5</v>
      </c>
      <c r="G91" s="11" t="s">
        <v>335</v>
      </c>
      <c r="H91" s="11" t="s">
        <v>336</v>
      </c>
      <c r="I91" s="11" t="s">
        <v>337</v>
      </c>
      <c r="J91" s="8" t="s">
        <v>656</v>
      </c>
      <c r="K91" s="7" t="s">
        <v>119</v>
      </c>
      <c r="L91" s="53" t="s">
        <v>475</v>
      </c>
    </row>
    <row r="92" spans="1:13">
      <c r="A92" s="457"/>
      <c r="B92" s="450"/>
      <c r="C92" s="450"/>
      <c r="D92" s="450"/>
      <c r="E92" s="3" t="s">
        <v>374</v>
      </c>
      <c r="F92" s="7" t="s">
        <v>414</v>
      </c>
      <c r="G92" s="7" t="s">
        <v>338</v>
      </c>
      <c r="H92" s="7" t="s">
        <v>339</v>
      </c>
      <c r="I92" s="7" t="s">
        <v>340</v>
      </c>
      <c r="J92" s="8" t="s">
        <v>656</v>
      </c>
      <c r="K92" s="7" t="s">
        <v>121</v>
      </c>
      <c r="L92" s="53" t="s">
        <v>475</v>
      </c>
    </row>
    <row r="93" spans="1:13" ht="33" thickBot="1">
      <c r="A93" s="457"/>
      <c r="B93" s="450"/>
      <c r="C93" s="450"/>
      <c r="D93" s="450"/>
      <c r="E93" s="3" t="s">
        <v>395</v>
      </c>
      <c r="F93" s="7" t="s">
        <v>98</v>
      </c>
      <c r="G93" s="7" t="s">
        <v>341</v>
      </c>
      <c r="H93" s="7" t="s">
        <v>342</v>
      </c>
      <c r="I93" s="7" t="s">
        <v>88</v>
      </c>
      <c r="J93" s="8" t="s">
        <v>656</v>
      </c>
      <c r="K93" s="7" t="s">
        <v>124</v>
      </c>
      <c r="L93" s="53" t="s">
        <v>475</v>
      </c>
    </row>
    <row r="94" spans="1:13" ht="33" hidden="1" thickBot="1">
      <c r="A94" s="458"/>
      <c r="B94" s="451"/>
      <c r="C94" s="451"/>
      <c r="D94" s="451"/>
      <c r="E94" s="3" t="s">
        <v>441</v>
      </c>
      <c r="F94" s="3" t="s">
        <v>134</v>
      </c>
      <c r="G94" s="3" t="s">
        <v>343</v>
      </c>
      <c r="H94" s="3" t="s">
        <v>344</v>
      </c>
      <c r="I94" s="1" t="s">
        <v>337</v>
      </c>
      <c r="K94" s="7" t="s">
        <v>126</v>
      </c>
      <c r="L94" s="53" t="s">
        <v>475</v>
      </c>
    </row>
    <row r="95" spans="1:13">
      <c r="A95" s="456" t="s">
        <v>248</v>
      </c>
      <c r="B95" s="452">
        <v>50</v>
      </c>
      <c r="C95" s="452" t="s">
        <v>249</v>
      </c>
      <c r="D95" s="453" t="s">
        <v>469</v>
      </c>
      <c r="E95" s="4" t="s">
        <v>378</v>
      </c>
      <c r="F95" s="11" t="s">
        <v>2</v>
      </c>
      <c r="G95" s="11" t="s">
        <v>542</v>
      </c>
      <c r="H95" s="11" t="s">
        <v>552</v>
      </c>
      <c r="I95" s="11" t="s">
        <v>250</v>
      </c>
      <c r="J95" s="8" t="s">
        <v>656</v>
      </c>
      <c r="K95" s="7" t="s">
        <v>5</v>
      </c>
      <c r="L95" s="53" t="s">
        <v>469</v>
      </c>
    </row>
    <row r="96" spans="1:13">
      <c r="A96" s="457"/>
      <c r="B96" s="450"/>
      <c r="C96" s="450"/>
      <c r="D96" s="454"/>
      <c r="E96" s="3" t="s">
        <v>397</v>
      </c>
      <c r="F96" s="7" t="s">
        <v>1</v>
      </c>
      <c r="G96" s="7" t="s">
        <v>543</v>
      </c>
      <c r="H96" s="7" t="s">
        <v>553</v>
      </c>
      <c r="I96" s="7" t="s">
        <v>253</v>
      </c>
      <c r="J96" s="8" t="s">
        <v>655</v>
      </c>
      <c r="L96" s="53" t="s">
        <v>469</v>
      </c>
    </row>
    <row r="97" spans="1:13">
      <c r="A97" s="457"/>
      <c r="B97" s="450"/>
      <c r="C97" s="450"/>
      <c r="D97" s="454"/>
      <c r="E97" s="3" t="s">
        <v>386</v>
      </c>
      <c r="F97" s="7" t="s">
        <v>5</v>
      </c>
      <c r="G97" s="7" t="s">
        <v>544</v>
      </c>
      <c r="H97" s="7" t="s">
        <v>554</v>
      </c>
      <c r="I97" s="7" t="s">
        <v>254</v>
      </c>
      <c r="J97" s="8" t="s">
        <v>655</v>
      </c>
      <c r="L97" s="53" t="s">
        <v>469</v>
      </c>
    </row>
    <row r="98" spans="1:13">
      <c r="A98" s="457"/>
      <c r="B98" s="450"/>
      <c r="C98" s="450"/>
      <c r="D98" s="454"/>
      <c r="E98" s="3" t="s">
        <v>400</v>
      </c>
      <c r="F98" s="7" t="s">
        <v>3</v>
      </c>
      <c r="G98" s="7" t="s">
        <v>545</v>
      </c>
      <c r="H98" s="7" t="s">
        <v>555</v>
      </c>
      <c r="I98" s="7" t="s">
        <v>255</v>
      </c>
      <c r="J98" s="8" t="s">
        <v>656</v>
      </c>
      <c r="L98" s="53" t="s">
        <v>469</v>
      </c>
    </row>
    <row r="99" spans="1:13">
      <c r="A99" s="457"/>
      <c r="B99" s="450"/>
      <c r="C99" s="450"/>
      <c r="D99" s="454"/>
      <c r="E99" s="3" t="s">
        <v>401</v>
      </c>
      <c r="F99" s="7" t="s">
        <v>117</v>
      </c>
      <c r="G99" s="7" t="s">
        <v>546</v>
      </c>
      <c r="H99" s="7" t="s">
        <v>556</v>
      </c>
      <c r="I99" s="7" t="s">
        <v>256</v>
      </c>
      <c r="J99" s="8" t="s">
        <v>656</v>
      </c>
      <c r="L99" s="53" t="s">
        <v>469</v>
      </c>
    </row>
    <row r="100" spans="1:13">
      <c r="A100" s="457"/>
      <c r="B100" s="450"/>
      <c r="C100" s="450"/>
      <c r="D100" s="454"/>
      <c r="E100" s="3" t="s">
        <v>438</v>
      </c>
      <c r="F100" s="7" t="s">
        <v>4</v>
      </c>
      <c r="G100" s="7" t="s">
        <v>547</v>
      </c>
      <c r="H100" s="7" t="s">
        <v>557</v>
      </c>
      <c r="I100" s="7" t="s">
        <v>257</v>
      </c>
      <c r="J100" s="8" t="s">
        <v>655</v>
      </c>
      <c r="K100" s="59"/>
      <c r="L100" s="53" t="s">
        <v>469</v>
      </c>
    </row>
    <row r="101" spans="1:13">
      <c r="A101" s="457"/>
      <c r="B101" s="450"/>
      <c r="C101" s="450"/>
      <c r="D101" s="454"/>
      <c r="E101" s="3" t="s">
        <v>395</v>
      </c>
      <c r="F101" s="7" t="s">
        <v>98</v>
      </c>
      <c r="G101" s="7" t="s">
        <v>548</v>
      </c>
      <c r="H101" s="7" t="s">
        <v>558</v>
      </c>
      <c r="I101" s="7" t="s">
        <v>258</v>
      </c>
      <c r="J101" s="8" t="s">
        <v>656</v>
      </c>
      <c r="L101" s="53" t="s">
        <v>469</v>
      </c>
    </row>
    <row r="102" spans="1:13">
      <c r="A102" s="457"/>
      <c r="B102" s="450"/>
      <c r="C102" s="450"/>
      <c r="D102" s="454"/>
      <c r="E102" s="3" t="s">
        <v>387</v>
      </c>
      <c r="F102" s="7" t="s">
        <v>251</v>
      </c>
      <c r="G102" s="7" t="s">
        <v>549</v>
      </c>
      <c r="H102" s="7" t="s">
        <v>559</v>
      </c>
      <c r="I102" s="7" t="s">
        <v>259</v>
      </c>
      <c r="J102" s="8" t="s">
        <v>656</v>
      </c>
      <c r="L102" s="53" t="s">
        <v>469</v>
      </c>
    </row>
    <row r="103" spans="1:13">
      <c r="A103" s="457"/>
      <c r="B103" s="450"/>
      <c r="C103" s="450"/>
      <c r="D103" s="454"/>
      <c r="E103" s="3" t="s">
        <v>373</v>
      </c>
      <c r="F103" s="7" t="s">
        <v>97</v>
      </c>
      <c r="G103" s="41" t="s">
        <v>550</v>
      </c>
      <c r="H103" s="7" t="s">
        <v>560</v>
      </c>
      <c r="I103" s="7" t="s">
        <v>260</v>
      </c>
      <c r="J103" s="8" t="s">
        <v>656</v>
      </c>
      <c r="L103" s="53" t="s">
        <v>469</v>
      </c>
    </row>
    <row r="104" spans="1:13" ht="17" thickBot="1">
      <c r="A104" s="458"/>
      <c r="B104" s="451"/>
      <c r="C104" s="451"/>
      <c r="D104" s="455"/>
      <c r="E104" s="6" t="s">
        <v>442</v>
      </c>
      <c r="F104" s="30" t="s">
        <v>252</v>
      </c>
      <c r="G104" s="30" t="s">
        <v>551</v>
      </c>
      <c r="H104" s="30" t="s">
        <v>561</v>
      </c>
      <c r="I104" s="30" t="s">
        <v>261</v>
      </c>
      <c r="J104" s="8" t="s">
        <v>656</v>
      </c>
      <c r="L104" s="53" t="s">
        <v>469</v>
      </c>
    </row>
    <row r="105" spans="1:13" ht="16" customHeight="1">
      <c r="A105" s="456" t="s">
        <v>116</v>
      </c>
      <c r="B105" s="452">
        <v>59</v>
      </c>
      <c r="C105" s="452" t="s">
        <v>349</v>
      </c>
      <c r="D105" s="452" t="s">
        <v>486</v>
      </c>
      <c r="E105" s="4" t="s">
        <v>444</v>
      </c>
      <c r="F105" s="11" t="s">
        <v>443</v>
      </c>
      <c r="G105" s="11" t="s">
        <v>138</v>
      </c>
      <c r="H105" s="11" t="s">
        <v>165</v>
      </c>
      <c r="I105" s="11" t="s">
        <v>192</v>
      </c>
      <c r="J105" s="8" t="s">
        <v>656</v>
      </c>
      <c r="L105" s="53" t="s">
        <v>653</v>
      </c>
      <c r="M105" t="s">
        <v>657</v>
      </c>
    </row>
    <row r="106" spans="1:13">
      <c r="A106" s="457"/>
      <c r="B106" s="450"/>
      <c r="C106" s="450"/>
      <c r="D106" s="450"/>
      <c r="E106" s="3" t="s">
        <v>378</v>
      </c>
      <c r="F106" s="7" t="s">
        <v>2</v>
      </c>
      <c r="G106" s="7" t="s">
        <v>139</v>
      </c>
      <c r="H106" s="7" t="s">
        <v>166</v>
      </c>
      <c r="I106" s="7" t="s">
        <v>193</v>
      </c>
      <c r="J106" s="8" t="s">
        <v>656</v>
      </c>
      <c r="L106" s="53" t="s">
        <v>653</v>
      </c>
      <c r="M106" t="s">
        <v>657</v>
      </c>
    </row>
    <row r="107" spans="1:13">
      <c r="A107" s="457"/>
      <c r="B107" s="450"/>
      <c r="C107" s="450"/>
      <c r="D107" s="450"/>
      <c r="E107" s="3" t="s">
        <v>400</v>
      </c>
      <c r="F107" s="7" t="s">
        <v>3</v>
      </c>
      <c r="G107" s="7" t="s">
        <v>140</v>
      </c>
      <c r="H107" s="7" t="s">
        <v>167</v>
      </c>
      <c r="I107" s="7" t="s">
        <v>194</v>
      </c>
      <c r="J107" s="8" t="s">
        <v>656</v>
      </c>
      <c r="L107" s="53" t="s">
        <v>653</v>
      </c>
      <c r="M107" t="s">
        <v>657</v>
      </c>
    </row>
    <row r="108" spans="1:13">
      <c r="A108" s="457"/>
      <c r="B108" s="450"/>
      <c r="C108" s="450"/>
      <c r="D108" s="450"/>
      <c r="E108" s="3" t="s">
        <v>401</v>
      </c>
      <c r="F108" s="7" t="s">
        <v>117</v>
      </c>
      <c r="G108" s="7" t="s">
        <v>141</v>
      </c>
      <c r="H108" s="7" t="s">
        <v>168</v>
      </c>
      <c r="I108" s="7" t="s">
        <v>195</v>
      </c>
      <c r="J108" s="8" t="s">
        <v>656</v>
      </c>
      <c r="L108" s="53" t="s">
        <v>653</v>
      </c>
      <c r="M108" t="s">
        <v>657</v>
      </c>
    </row>
    <row r="109" spans="1:13">
      <c r="A109" s="457"/>
      <c r="B109" s="450"/>
      <c r="C109" s="450"/>
      <c r="D109" s="450"/>
      <c r="E109" s="3" t="s">
        <v>374</v>
      </c>
      <c r="F109" s="7" t="s">
        <v>4</v>
      </c>
      <c r="G109" s="7" t="s">
        <v>142</v>
      </c>
      <c r="H109" s="7" t="s">
        <v>169</v>
      </c>
      <c r="I109" s="7" t="s">
        <v>196</v>
      </c>
      <c r="J109" s="8" t="s">
        <v>656</v>
      </c>
      <c r="L109" s="53" t="s">
        <v>653</v>
      </c>
      <c r="M109" t="s">
        <v>657</v>
      </c>
    </row>
    <row r="110" spans="1:13">
      <c r="A110" s="457"/>
      <c r="B110" s="450"/>
      <c r="C110" s="450"/>
      <c r="D110" s="450"/>
      <c r="E110" s="3" t="s">
        <v>445</v>
      </c>
      <c r="F110" s="7" t="s">
        <v>118</v>
      </c>
      <c r="G110" s="7" t="s">
        <v>143</v>
      </c>
      <c r="H110" s="7" t="s">
        <v>170</v>
      </c>
      <c r="I110" s="7" t="s">
        <v>197</v>
      </c>
      <c r="J110" s="8" t="s">
        <v>655</v>
      </c>
      <c r="L110" s="53" t="s">
        <v>653</v>
      </c>
      <c r="M110" t="s">
        <v>657</v>
      </c>
    </row>
    <row r="111" spans="1:13">
      <c r="A111" s="457"/>
      <c r="B111" s="450"/>
      <c r="C111" s="450"/>
      <c r="D111" s="450"/>
      <c r="E111" s="3" t="s">
        <v>432</v>
      </c>
      <c r="F111" s="7" t="s">
        <v>98</v>
      </c>
      <c r="G111" s="7" t="s">
        <v>144</v>
      </c>
      <c r="H111" s="7" t="s">
        <v>171</v>
      </c>
      <c r="I111" s="7" t="s">
        <v>198</v>
      </c>
      <c r="J111" s="8" t="s">
        <v>655</v>
      </c>
      <c r="L111" s="53" t="s">
        <v>653</v>
      </c>
      <c r="M111" t="s">
        <v>657</v>
      </c>
    </row>
    <row r="112" spans="1:13">
      <c r="A112" s="457"/>
      <c r="B112" s="450"/>
      <c r="C112" s="450"/>
      <c r="D112" s="450"/>
      <c r="E112" s="3" t="s">
        <v>446</v>
      </c>
      <c r="F112" s="7" t="s">
        <v>119</v>
      </c>
      <c r="G112" s="7" t="s">
        <v>145</v>
      </c>
      <c r="H112" s="7" t="s">
        <v>172</v>
      </c>
      <c r="I112" s="7" t="s">
        <v>199</v>
      </c>
      <c r="J112" s="8" t="s">
        <v>656</v>
      </c>
      <c r="L112" s="53" t="s">
        <v>653</v>
      </c>
      <c r="M112" t="s">
        <v>657</v>
      </c>
    </row>
    <row r="113" spans="1:13" hidden="1">
      <c r="A113" s="457"/>
      <c r="B113" s="450"/>
      <c r="C113" s="450"/>
      <c r="D113" s="450"/>
      <c r="E113" s="3" t="s">
        <v>447</v>
      </c>
      <c r="F113" s="3" t="s">
        <v>120</v>
      </c>
      <c r="G113" s="3" t="s">
        <v>146</v>
      </c>
      <c r="H113" s="3" t="s">
        <v>173</v>
      </c>
      <c r="I113" s="1" t="s">
        <v>200</v>
      </c>
      <c r="K113"/>
      <c r="L113" s="53" t="s">
        <v>486</v>
      </c>
    </row>
    <row r="114" spans="1:13">
      <c r="A114" s="457"/>
      <c r="B114" s="450"/>
      <c r="C114" s="450"/>
      <c r="D114" s="450"/>
      <c r="E114" s="3" t="s">
        <v>448</v>
      </c>
      <c r="F114" s="7" t="s">
        <v>121</v>
      </c>
      <c r="G114" s="7" t="s">
        <v>147</v>
      </c>
      <c r="H114" s="7" t="s">
        <v>174</v>
      </c>
      <c r="I114" s="7" t="s">
        <v>201</v>
      </c>
      <c r="J114" s="8" t="s">
        <v>655</v>
      </c>
      <c r="L114" s="53" t="s">
        <v>653</v>
      </c>
      <c r="M114" t="s">
        <v>657</v>
      </c>
    </row>
    <row r="115" spans="1:13" hidden="1">
      <c r="A115" s="457"/>
      <c r="B115" s="450"/>
      <c r="C115" s="450"/>
      <c r="D115" s="450"/>
      <c r="E115" s="3" t="s">
        <v>449</v>
      </c>
      <c r="F115" s="3" t="s">
        <v>122</v>
      </c>
      <c r="G115" s="3" t="s">
        <v>148</v>
      </c>
      <c r="H115" s="3" t="s">
        <v>175</v>
      </c>
      <c r="I115" s="1" t="s">
        <v>202</v>
      </c>
      <c r="K115"/>
      <c r="L115" s="53" t="s">
        <v>486</v>
      </c>
    </row>
    <row r="116" spans="1:13" hidden="1">
      <c r="A116" s="457"/>
      <c r="B116" s="450"/>
      <c r="C116" s="450"/>
      <c r="D116" s="450"/>
      <c r="E116" s="3" t="s">
        <v>450</v>
      </c>
      <c r="F116" s="3" t="s">
        <v>123</v>
      </c>
      <c r="G116" s="3" t="s">
        <v>149</v>
      </c>
      <c r="H116" s="3" t="s">
        <v>176</v>
      </c>
      <c r="I116" s="1" t="s">
        <v>203</v>
      </c>
      <c r="K116"/>
      <c r="L116" s="53" t="s">
        <v>486</v>
      </c>
    </row>
    <row r="117" spans="1:13">
      <c r="A117" s="457"/>
      <c r="B117" s="450"/>
      <c r="C117" s="450"/>
      <c r="D117" s="450"/>
      <c r="E117" s="3" t="s">
        <v>451</v>
      </c>
      <c r="F117" s="7" t="s">
        <v>124</v>
      </c>
      <c r="G117" s="7" t="s">
        <v>150</v>
      </c>
      <c r="H117" s="7" t="s">
        <v>177</v>
      </c>
      <c r="I117" s="7" t="s">
        <v>204</v>
      </c>
      <c r="J117" s="8" t="s">
        <v>656</v>
      </c>
      <c r="L117" s="53" t="s">
        <v>653</v>
      </c>
      <c r="M117" t="s">
        <v>657</v>
      </c>
    </row>
    <row r="118" spans="1:13" hidden="1">
      <c r="A118" s="457"/>
      <c r="B118" s="450"/>
      <c r="C118" s="450"/>
      <c r="D118" s="450"/>
      <c r="E118" s="3" t="s">
        <v>452</v>
      </c>
      <c r="F118" s="3" t="s">
        <v>125</v>
      </c>
      <c r="G118" s="3" t="s">
        <v>151</v>
      </c>
      <c r="H118" s="3" t="s">
        <v>178</v>
      </c>
      <c r="I118" s="1" t="s">
        <v>205</v>
      </c>
      <c r="K118"/>
      <c r="L118" s="53" t="s">
        <v>486</v>
      </c>
    </row>
    <row r="119" spans="1:13">
      <c r="A119" s="457"/>
      <c r="B119" s="450"/>
      <c r="C119" s="450"/>
      <c r="D119" s="450"/>
      <c r="E119" s="3" t="s">
        <v>453</v>
      </c>
      <c r="F119" s="7" t="s">
        <v>126</v>
      </c>
      <c r="G119" s="7" t="s">
        <v>152</v>
      </c>
      <c r="H119" s="7" t="s">
        <v>179</v>
      </c>
      <c r="I119" s="7" t="s">
        <v>206</v>
      </c>
      <c r="J119" s="8" t="s">
        <v>656</v>
      </c>
      <c r="L119" s="53" t="s">
        <v>653</v>
      </c>
      <c r="M119" t="s">
        <v>657</v>
      </c>
    </row>
    <row r="120" spans="1:13" hidden="1">
      <c r="A120" s="457"/>
      <c r="B120" s="450"/>
      <c r="C120" s="450"/>
      <c r="D120" s="450"/>
      <c r="E120" s="3" t="s">
        <v>454</v>
      </c>
      <c r="F120" s="3" t="s">
        <v>127</v>
      </c>
      <c r="G120" s="3" t="s">
        <v>153</v>
      </c>
      <c r="H120" s="3" t="s">
        <v>180</v>
      </c>
      <c r="I120" s="1" t="s">
        <v>207</v>
      </c>
      <c r="K120"/>
      <c r="L120" s="53" t="s">
        <v>486</v>
      </c>
    </row>
    <row r="121" spans="1:13" ht="32" hidden="1">
      <c r="A121" s="457"/>
      <c r="B121" s="450"/>
      <c r="C121" s="450"/>
      <c r="D121" s="450"/>
      <c r="E121" s="3" t="s">
        <v>455</v>
      </c>
      <c r="F121" s="3" t="s">
        <v>128</v>
      </c>
      <c r="G121" s="3" t="s">
        <v>154</v>
      </c>
      <c r="H121" s="3" t="s">
        <v>181</v>
      </c>
      <c r="I121" s="1" t="s">
        <v>208</v>
      </c>
      <c r="K121" s="3"/>
      <c r="L121" s="53" t="s">
        <v>486</v>
      </c>
    </row>
    <row r="122" spans="1:13" hidden="1">
      <c r="A122" s="457"/>
      <c r="B122" s="450"/>
      <c r="C122" s="450"/>
      <c r="D122" s="450"/>
      <c r="E122" s="3" t="s">
        <v>456</v>
      </c>
      <c r="F122" s="3" t="s">
        <v>129</v>
      </c>
      <c r="G122" s="3" t="s">
        <v>155</v>
      </c>
      <c r="H122" s="3" t="s">
        <v>182</v>
      </c>
      <c r="I122" s="1" t="s">
        <v>209</v>
      </c>
      <c r="K122"/>
      <c r="L122" s="53" t="s">
        <v>486</v>
      </c>
    </row>
    <row r="123" spans="1:13">
      <c r="A123" s="457"/>
      <c r="B123" s="450"/>
      <c r="C123" s="450"/>
      <c r="D123" s="450"/>
      <c r="E123" s="3" t="s">
        <v>386</v>
      </c>
      <c r="F123" s="7" t="s">
        <v>5</v>
      </c>
      <c r="G123" s="7" t="s">
        <v>156</v>
      </c>
      <c r="H123" s="7" t="s">
        <v>183</v>
      </c>
      <c r="I123" s="7" t="s">
        <v>210</v>
      </c>
      <c r="J123" s="8" t="s">
        <v>655</v>
      </c>
      <c r="L123" s="53" t="s">
        <v>653</v>
      </c>
      <c r="M123" t="s">
        <v>657</v>
      </c>
    </row>
    <row r="124" spans="1:13" ht="32" hidden="1">
      <c r="A124" s="457"/>
      <c r="B124" s="450"/>
      <c r="C124" s="450"/>
      <c r="D124" s="450"/>
      <c r="E124" s="3" t="s">
        <v>457</v>
      </c>
      <c r="F124" s="3" t="s">
        <v>130</v>
      </c>
      <c r="G124" s="3" t="s">
        <v>157</v>
      </c>
      <c r="H124" s="3" t="s">
        <v>184</v>
      </c>
      <c r="I124" s="1" t="s">
        <v>211</v>
      </c>
      <c r="K124"/>
      <c r="L124" s="53" t="s">
        <v>486</v>
      </c>
    </row>
    <row r="125" spans="1:13" ht="32" hidden="1">
      <c r="A125" s="457"/>
      <c r="B125" s="450"/>
      <c r="C125" s="450"/>
      <c r="D125" s="450"/>
      <c r="E125" s="3" t="s">
        <v>458</v>
      </c>
      <c r="F125" s="3" t="s">
        <v>131</v>
      </c>
      <c r="G125" s="3" t="s">
        <v>158</v>
      </c>
      <c r="H125" s="3" t="s">
        <v>185</v>
      </c>
      <c r="I125" s="1" t="s">
        <v>212</v>
      </c>
      <c r="K125"/>
      <c r="L125" s="53" t="s">
        <v>486</v>
      </c>
    </row>
    <row r="126" spans="1:13" hidden="1">
      <c r="A126" s="457"/>
      <c r="B126" s="450"/>
      <c r="C126" s="450"/>
      <c r="D126" s="450"/>
      <c r="E126" s="3" t="s">
        <v>459</v>
      </c>
      <c r="F126" s="3" t="s">
        <v>132</v>
      </c>
      <c r="G126" s="3" t="s">
        <v>159</v>
      </c>
      <c r="H126" s="3" t="s">
        <v>186</v>
      </c>
      <c r="I126" s="1" t="s">
        <v>195</v>
      </c>
      <c r="K126"/>
      <c r="L126" s="53" t="s">
        <v>486</v>
      </c>
    </row>
    <row r="127" spans="1:13" hidden="1">
      <c r="A127" s="457"/>
      <c r="B127" s="450"/>
      <c r="C127" s="450"/>
      <c r="D127" s="450"/>
      <c r="E127" s="3" t="s">
        <v>460</v>
      </c>
      <c r="F127" s="3" t="s">
        <v>133</v>
      </c>
      <c r="G127" s="3" t="s">
        <v>160</v>
      </c>
      <c r="H127" s="3" t="s">
        <v>187</v>
      </c>
      <c r="I127" s="1" t="s">
        <v>195</v>
      </c>
      <c r="K127"/>
      <c r="L127" s="53" t="s">
        <v>486</v>
      </c>
    </row>
    <row r="128" spans="1:13" hidden="1">
      <c r="A128" s="457"/>
      <c r="B128" s="450"/>
      <c r="C128" s="450"/>
      <c r="D128" s="450"/>
      <c r="E128" s="3" t="s">
        <v>441</v>
      </c>
      <c r="F128" s="3" t="s">
        <v>134</v>
      </c>
      <c r="G128" s="3" t="s">
        <v>161</v>
      </c>
      <c r="H128" s="3" t="s">
        <v>188</v>
      </c>
      <c r="I128" s="1" t="s">
        <v>213</v>
      </c>
      <c r="K128"/>
      <c r="L128" s="53" t="s">
        <v>486</v>
      </c>
    </row>
    <row r="129" spans="1:12" hidden="1">
      <c r="A129" s="457"/>
      <c r="B129" s="450"/>
      <c r="C129" s="450"/>
      <c r="D129" s="450"/>
      <c r="E129" s="3" t="s">
        <v>461</v>
      </c>
      <c r="F129" s="3" t="s">
        <v>135</v>
      </c>
      <c r="G129" s="3" t="s">
        <v>162</v>
      </c>
      <c r="H129" s="3" t="s">
        <v>189</v>
      </c>
      <c r="I129" s="1" t="s">
        <v>214</v>
      </c>
      <c r="K129"/>
      <c r="L129" s="53" t="s">
        <v>486</v>
      </c>
    </row>
    <row r="130" spans="1:12" hidden="1">
      <c r="A130" s="457"/>
      <c r="B130" s="450"/>
      <c r="C130" s="450"/>
      <c r="D130" s="450"/>
      <c r="E130" s="3" t="s">
        <v>462</v>
      </c>
      <c r="F130" s="3" t="s">
        <v>136</v>
      </c>
      <c r="G130" s="3" t="s">
        <v>163</v>
      </c>
      <c r="H130" s="3" t="s">
        <v>190</v>
      </c>
      <c r="I130" s="1" t="s">
        <v>195</v>
      </c>
      <c r="K130"/>
      <c r="L130" s="53" t="s">
        <v>486</v>
      </c>
    </row>
    <row r="131" spans="1:12" ht="17" hidden="1" thickBot="1">
      <c r="A131" s="458"/>
      <c r="B131" s="451"/>
      <c r="C131" s="451"/>
      <c r="D131" s="451"/>
      <c r="E131" s="6" t="s">
        <v>463</v>
      </c>
      <c r="F131" s="6" t="s">
        <v>137</v>
      </c>
      <c r="G131" s="6" t="s">
        <v>164</v>
      </c>
      <c r="H131" s="6" t="s">
        <v>191</v>
      </c>
      <c r="I131" s="13" t="s">
        <v>195</v>
      </c>
      <c r="K131"/>
      <c r="L131" s="53" t="s">
        <v>486</v>
      </c>
    </row>
  </sheetData>
  <autoFilter ref="A1:L131" xr:uid="{0CDD07D8-3240-804E-95A9-9C81EFA1D0B1}">
    <filterColumn colId="5">
      <colorFilter dxfId="0"/>
    </filterColumn>
  </autoFilter>
  <mergeCells count="55">
    <mergeCell ref="A78:A82"/>
    <mergeCell ref="B78:B82"/>
    <mergeCell ref="A105:A131"/>
    <mergeCell ref="B105:B131"/>
    <mergeCell ref="C105:C131"/>
    <mergeCell ref="A91:A94"/>
    <mergeCell ref="B91:B94"/>
    <mergeCell ref="C91:C94"/>
    <mergeCell ref="A83:A90"/>
    <mergeCell ref="B83:B90"/>
    <mergeCell ref="C83:C90"/>
    <mergeCell ref="A95:A104"/>
    <mergeCell ref="B95:B104"/>
    <mergeCell ref="C95:C104"/>
    <mergeCell ref="C30:C32"/>
    <mergeCell ref="A2:A6"/>
    <mergeCell ref="B2:B6"/>
    <mergeCell ref="A7:A12"/>
    <mergeCell ref="B7:B12"/>
    <mergeCell ref="A24:A29"/>
    <mergeCell ref="B24:B29"/>
    <mergeCell ref="A13:A18"/>
    <mergeCell ref="B13:B18"/>
    <mergeCell ref="C13:C18"/>
    <mergeCell ref="A19:A23"/>
    <mergeCell ref="B19:B23"/>
    <mergeCell ref="C19:C23"/>
    <mergeCell ref="A30:A32"/>
    <mergeCell ref="B30:B32"/>
    <mergeCell ref="A33:A39"/>
    <mergeCell ref="B33:B39"/>
    <mergeCell ref="C33:C39"/>
    <mergeCell ref="A56:A77"/>
    <mergeCell ref="B56:B77"/>
    <mergeCell ref="A40:A45"/>
    <mergeCell ref="B40:B45"/>
    <mergeCell ref="C40:C45"/>
    <mergeCell ref="A46:A55"/>
    <mergeCell ref="B46:B55"/>
    <mergeCell ref="C46:C55"/>
    <mergeCell ref="D105:D131"/>
    <mergeCell ref="D13:D18"/>
    <mergeCell ref="D95:D104"/>
    <mergeCell ref="D19:D23"/>
    <mergeCell ref="D30:D32"/>
    <mergeCell ref="D33:D39"/>
    <mergeCell ref="D83:D90"/>
    <mergeCell ref="D91:D94"/>
    <mergeCell ref="D56:D77"/>
    <mergeCell ref="D78:D82"/>
    <mergeCell ref="D2:D6"/>
    <mergeCell ref="D7:D12"/>
    <mergeCell ref="D24:D29"/>
    <mergeCell ref="D40:D45"/>
    <mergeCell ref="D46:D55"/>
  </mergeCells>
  <phoneticPr fontId="4" type="noConversion"/>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283C8-12EC-6A48-9EB4-1B5C32C5EFA4}">
  <dimension ref="A1:O95"/>
  <sheetViews>
    <sheetView zoomScale="80" zoomScaleNormal="80" workbookViewId="0">
      <selection sqref="A1:M95"/>
    </sheetView>
  </sheetViews>
  <sheetFormatPr baseColWidth="10" defaultRowHeight="16"/>
  <cols>
    <col min="1" max="1" width="18.33203125" style="14" customWidth="1"/>
    <col min="2" max="2" width="9.83203125" style="14" customWidth="1"/>
    <col min="3" max="3" width="25.83203125" style="14" customWidth="1"/>
    <col min="4" max="4" width="13.83203125" style="14" customWidth="1"/>
    <col min="5" max="5" width="15" style="14" customWidth="1"/>
    <col min="6" max="6" width="17" style="25" customWidth="1"/>
    <col min="7" max="7" width="15.1640625" style="25" customWidth="1"/>
    <col min="8" max="8" width="10.83203125" style="25"/>
    <col min="9" max="9" width="19.1640625" style="3" customWidth="1"/>
    <col min="10" max="10" width="18.83203125" style="3" customWidth="1"/>
    <col min="11" max="11" width="15.5" style="14" customWidth="1"/>
    <col min="12" max="12" width="10.83203125" style="14"/>
    <col min="13" max="13" width="38.1640625" style="80" bestFit="1" customWidth="1"/>
  </cols>
  <sheetData>
    <row r="1" spans="1:15" ht="33" thickBot="1">
      <c r="A1" s="42" t="s">
        <v>25</v>
      </c>
      <c r="B1" s="43" t="s">
        <v>372</v>
      </c>
      <c r="C1" s="43" t="s">
        <v>477</v>
      </c>
      <c r="D1" s="32" t="s">
        <v>478</v>
      </c>
      <c r="E1" s="43" t="s">
        <v>26</v>
      </c>
      <c r="F1" s="42" t="s">
        <v>666</v>
      </c>
      <c r="G1" s="43" t="s">
        <v>670</v>
      </c>
      <c r="H1" s="44" t="s">
        <v>667</v>
      </c>
      <c r="I1" s="43" t="s">
        <v>27</v>
      </c>
      <c r="J1" s="43" t="s">
        <v>28</v>
      </c>
      <c r="K1" s="32" t="s">
        <v>667</v>
      </c>
      <c r="L1" s="44" t="s">
        <v>29</v>
      </c>
      <c r="M1" s="57" t="s">
        <v>650</v>
      </c>
      <c r="N1" s="39"/>
      <c r="O1" s="39"/>
    </row>
    <row r="2" spans="1:15" ht="23" customHeight="1">
      <c r="A2" s="456" t="s">
        <v>262</v>
      </c>
      <c r="B2" s="452">
        <v>14</v>
      </c>
      <c r="C2" s="468" t="s">
        <v>631</v>
      </c>
      <c r="D2" s="452" t="s">
        <v>476</v>
      </c>
      <c r="E2" s="20" t="s">
        <v>263</v>
      </c>
      <c r="F2" s="70" t="s">
        <v>668</v>
      </c>
      <c r="G2" s="61" t="s">
        <v>672</v>
      </c>
      <c r="H2" s="61" t="s">
        <v>675</v>
      </c>
      <c r="I2" s="66" t="s">
        <v>487</v>
      </c>
      <c r="J2" s="20" t="s">
        <v>488</v>
      </c>
      <c r="K2" s="4" t="s">
        <v>373</v>
      </c>
      <c r="L2" s="21" t="s">
        <v>266</v>
      </c>
      <c r="M2" s="79" t="s">
        <v>729</v>
      </c>
    </row>
    <row r="3" spans="1:15" ht="23" customHeight="1">
      <c r="A3" s="457"/>
      <c r="B3" s="450"/>
      <c r="C3" s="469"/>
      <c r="D3" s="450"/>
      <c r="E3" s="8" t="s">
        <v>4</v>
      </c>
      <c r="F3" s="71" t="s">
        <v>669</v>
      </c>
      <c r="G3" s="25" t="s">
        <v>673</v>
      </c>
      <c r="H3" s="25" t="s">
        <v>675</v>
      </c>
      <c r="I3" s="67" t="s">
        <v>490</v>
      </c>
      <c r="J3" s="8" t="s">
        <v>489</v>
      </c>
      <c r="K3" s="3" t="s">
        <v>374</v>
      </c>
      <c r="L3" s="9" t="s">
        <v>267</v>
      </c>
      <c r="M3" s="79" t="s">
        <v>729</v>
      </c>
      <c r="N3" s="39"/>
    </row>
    <row r="4" spans="1:15" ht="30" customHeight="1" thickBot="1">
      <c r="A4" s="458"/>
      <c r="B4" s="451"/>
      <c r="C4" s="470"/>
      <c r="D4" s="451"/>
      <c r="E4" s="22" t="s">
        <v>5</v>
      </c>
      <c r="F4" s="72" t="s">
        <v>671</v>
      </c>
      <c r="G4" s="62" t="s">
        <v>674</v>
      </c>
      <c r="H4" s="62" t="s">
        <v>675</v>
      </c>
      <c r="I4" s="69" t="s">
        <v>493</v>
      </c>
      <c r="J4" s="22" t="s">
        <v>491</v>
      </c>
      <c r="K4" s="6" t="s">
        <v>383</v>
      </c>
      <c r="L4" s="23" t="s">
        <v>266</v>
      </c>
      <c r="M4" s="79" t="s">
        <v>729</v>
      </c>
    </row>
    <row r="5" spans="1:15">
      <c r="A5" s="456" t="s">
        <v>0</v>
      </c>
      <c r="B5" s="452">
        <v>32</v>
      </c>
      <c r="C5" s="4" t="s">
        <v>233</v>
      </c>
      <c r="D5" s="452" t="s">
        <v>479</v>
      </c>
      <c r="E5" s="20" t="s">
        <v>1</v>
      </c>
      <c r="F5" s="70" t="s">
        <v>677</v>
      </c>
      <c r="G5" s="61" t="s">
        <v>676</v>
      </c>
      <c r="H5" s="61" t="s">
        <v>686</v>
      </c>
      <c r="I5" s="66" t="s">
        <v>7</v>
      </c>
      <c r="J5" s="20" t="s">
        <v>13</v>
      </c>
      <c r="K5" s="4" t="s">
        <v>377</v>
      </c>
      <c r="L5" s="21" t="s">
        <v>19</v>
      </c>
      <c r="M5" s="80" t="s">
        <v>660</v>
      </c>
      <c r="N5" s="39"/>
    </row>
    <row r="6" spans="1:15">
      <c r="A6" s="457"/>
      <c r="B6" s="450"/>
      <c r="C6" s="3" t="s">
        <v>234</v>
      </c>
      <c r="D6" s="450"/>
      <c r="E6" s="8" t="s">
        <v>2</v>
      </c>
      <c r="F6" s="71" t="s">
        <v>678</v>
      </c>
      <c r="G6" s="25" t="s">
        <v>679</v>
      </c>
      <c r="H6" s="25" t="s">
        <v>686</v>
      </c>
      <c r="I6" s="67" t="s">
        <v>8</v>
      </c>
      <c r="J6" s="8" t="s">
        <v>14</v>
      </c>
      <c r="K6" s="3" t="s">
        <v>378</v>
      </c>
      <c r="L6" s="9" t="s">
        <v>20</v>
      </c>
      <c r="M6" s="80" t="s">
        <v>660</v>
      </c>
    </row>
    <row r="7" spans="1:15">
      <c r="A7" s="457"/>
      <c r="B7" s="450"/>
      <c r="C7" s="3" t="s">
        <v>235</v>
      </c>
      <c r="D7" s="450"/>
      <c r="E7" s="8" t="s">
        <v>3</v>
      </c>
      <c r="F7" s="71" t="s">
        <v>680</v>
      </c>
      <c r="G7" s="25" t="s">
        <v>681</v>
      </c>
      <c r="H7" s="25" t="s">
        <v>686</v>
      </c>
      <c r="I7" s="67" t="s">
        <v>9</v>
      </c>
      <c r="J7" s="8" t="s">
        <v>15</v>
      </c>
      <c r="K7" s="3" t="s">
        <v>379</v>
      </c>
      <c r="L7" s="9" t="s">
        <v>21</v>
      </c>
      <c r="M7" s="80" t="s">
        <v>660</v>
      </c>
      <c r="N7" s="40"/>
    </row>
    <row r="8" spans="1:15">
      <c r="A8" s="457"/>
      <c r="B8" s="450"/>
      <c r="C8" s="3" t="s">
        <v>236</v>
      </c>
      <c r="D8" s="450"/>
      <c r="E8" s="8" t="s">
        <v>4</v>
      </c>
      <c r="F8" s="71" t="s">
        <v>682</v>
      </c>
      <c r="G8" s="25" t="s">
        <v>683</v>
      </c>
      <c r="H8" s="25" t="s">
        <v>675</v>
      </c>
      <c r="I8" s="67" t="s">
        <v>10</v>
      </c>
      <c r="J8" s="8" t="s">
        <v>16</v>
      </c>
      <c r="K8" s="3" t="s">
        <v>374</v>
      </c>
      <c r="L8" s="9" t="s">
        <v>22</v>
      </c>
      <c r="M8" s="80" t="s">
        <v>660</v>
      </c>
      <c r="N8" s="39"/>
    </row>
    <row r="9" spans="1:15" ht="17" thickBot="1">
      <c r="A9" s="458"/>
      <c r="B9" s="451"/>
      <c r="C9" s="6" t="s">
        <v>237</v>
      </c>
      <c r="D9" s="451"/>
      <c r="E9" s="22" t="s">
        <v>5</v>
      </c>
      <c r="F9" s="72" t="s">
        <v>684</v>
      </c>
      <c r="G9" s="62" t="s">
        <v>685</v>
      </c>
      <c r="H9" s="62" t="s">
        <v>675</v>
      </c>
      <c r="I9" s="69" t="s">
        <v>11</v>
      </c>
      <c r="J9" s="22" t="s">
        <v>17</v>
      </c>
      <c r="K9" s="6" t="s">
        <v>383</v>
      </c>
      <c r="L9" s="23" t="s">
        <v>23</v>
      </c>
      <c r="M9" s="80" t="s">
        <v>660</v>
      </c>
    </row>
    <row r="10" spans="1:15" ht="17" customHeight="1">
      <c r="A10" s="456" t="s">
        <v>319</v>
      </c>
      <c r="B10" s="452">
        <v>30</v>
      </c>
      <c r="C10" s="452" t="s">
        <v>464</v>
      </c>
      <c r="D10" s="452" t="s">
        <v>469</v>
      </c>
      <c r="E10" s="20" t="s">
        <v>2</v>
      </c>
      <c r="F10" s="70" t="s">
        <v>687</v>
      </c>
      <c r="G10" s="61" t="s">
        <v>320</v>
      </c>
      <c r="H10" s="25" t="s">
        <v>675</v>
      </c>
      <c r="I10" s="66" t="s">
        <v>320</v>
      </c>
      <c r="J10" s="20" t="s">
        <v>321</v>
      </c>
      <c r="K10" s="4" t="s">
        <v>378</v>
      </c>
      <c r="L10" s="21" t="s">
        <v>322</v>
      </c>
      <c r="M10" s="80" t="s">
        <v>469</v>
      </c>
    </row>
    <row r="11" spans="1:15">
      <c r="A11" s="457"/>
      <c r="B11" s="450"/>
      <c r="C11" s="450"/>
      <c r="D11" s="450"/>
      <c r="E11" s="8" t="s">
        <v>3</v>
      </c>
      <c r="F11" s="71" t="s">
        <v>688</v>
      </c>
      <c r="G11" s="25" t="s">
        <v>323</v>
      </c>
      <c r="H11" s="25" t="s">
        <v>686</v>
      </c>
      <c r="I11" s="67" t="s">
        <v>323</v>
      </c>
      <c r="J11" s="8" t="s">
        <v>324</v>
      </c>
      <c r="K11" s="3" t="s">
        <v>379</v>
      </c>
      <c r="L11" s="9" t="s">
        <v>322</v>
      </c>
      <c r="M11" s="80" t="s">
        <v>469</v>
      </c>
      <c r="N11" s="39"/>
      <c r="O11" s="39"/>
    </row>
    <row r="12" spans="1:15">
      <c r="A12" s="457"/>
      <c r="B12" s="450"/>
      <c r="C12" s="450"/>
      <c r="D12" s="450"/>
      <c r="E12" s="8" t="s">
        <v>287</v>
      </c>
      <c r="F12" s="71" t="s">
        <v>689</v>
      </c>
      <c r="G12" s="25" t="s">
        <v>325</v>
      </c>
      <c r="H12" s="25" t="s">
        <v>675</v>
      </c>
      <c r="I12" s="67" t="s">
        <v>325</v>
      </c>
      <c r="J12" s="8" t="s">
        <v>326</v>
      </c>
      <c r="K12" s="3" t="s">
        <v>382</v>
      </c>
      <c r="L12" s="9" t="s">
        <v>322</v>
      </c>
      <c r="M12" s="80" t="s">
        <v>469</v>
      </c>
    </row>
    <row r="13" spans="1:15">
      <c r="A13" s="457"/>
      <c r="B13" s="450"/>
      <c r="C13" s="450"/>
      <c r="D13" s="450"/>
      <c r="E13" s="8" t="s">
        <v>5</v>
      </c>
      <c r="F13" s="71" t="s">
        <v>690</v>
      </c>
      <c r="G13" s="25" t="s">
        <v>327</v>
      </c>
      <c r="H13" s="25" t="s">
        <v>675</v>
      </c>
      <c r="I13" s="67" t="s">
        <v>327</v>
      </c>
      <c r="J13" s="8" t="s">
        <v>328</v>
      </c>
      <c r="K13" s="3" t="s">
        <v>383</v>
      </c>
      <c r="L13" s="9" t="s">
        <v>322</v>
      </c>
      <c r="M13" s="80" t="s">
        <v>469</v>
      </c>
    </row>
    <row r="14" spans="1:15" ht="17" thickBot="1">
      <c r="A14" s="458"/>
      <c r="B14" s="451"/>
      <c r="C14" s="451"/>
      <c r="D14" s="451"/>
      <c r="E14" s="22" t="s">
        <v>273</v>
      </c>
      <c r="F14" s="71" t="s">
        <v>691</v>
      </c>
      <c r="G14" s="25" t="s">
        <v>331</v>
      </c>
      <c r="H14" s="25" t="s">
        <v>675</v>
      </c>
      <c r="I14" s="69" t="s">
        <v>331</v>
      </c>
      <c r="J14" s="22" t="s">
        <v>332</v>
      </c>
      <c r="K14" s="6" t="s">
        <v>385</v>
      </c>
      <c r="L14" s="23" t="s">
        <v>322</v>
      </c>
      <c r="M14" s="80" t="s">
        <v>469</v>
      </c>
    </row>
    <row r="15" spans="1:15" ht="17" customHeight="1">
      <c r="A15" s="456" t="s">
        <v>313</v>
      </c>
      <c r="B15" s="452">
        <v>14</v>
      </c>
      <c r="C15" s="452" t="s">
        <v>314</v>
      </c>
      <c r="D15" s="452" t="s">
        <v>472</v>
      </c>
      <c r="E15" s="20" t="s">
        <v>5</v>
      </c>
      <c r="F15" s="70" t="s">
        <v>692</v>
      </c>
      <c r="G15" s="20" t="s">
        <v>632</v>
      </c>
      <c r="H15" s="63" t="s">
        <v>675</v>
      </c>
      <c r="I15" s="20" t="s">
        <v>632</v>
      </c>
      <c r="J15" s="20" t="s">
        <v>636</v>
      </c>
      <c r="K15" s="4" t="s">
        <v>386</v>
      </c>
      <c r="L15" s="21"/>
      <c r="M15" s="80" t="s">
        <v>663</v>
      </c>
    </row>
    <row r="16" spans="1:15">
      <c r="A16" s="457"/>
      <c r="B16" s="450"/>
      <c r="C16" s="450"/>
      <c r="D16" s="450"/>
      <c r="E16" s="8" t="s">
        <v>251</v>
      </c>
      <c r="F16" s="71" t="s">
        <v>693</v>
      </c>
      <c r="G16" s="8" t="s">
        <v>633</v>
      </c>
      <c r="H16" s="64" t="s">
        <v>675</v>
      </c>
      <c r="I16" s="8" t="s">
        <v>633</v>
      </c>
      <c r="J16" s="8" t="s">
        <v>637</v>
      </c>
      <c r="K16" s="3" t="s">
        <v>387</v>
      </c>
      <c r="L16" s="9"/>
      <c r="M16" s="80" t="s">
        <v>663</v>
      </c>
    </row>
    <row r="17" spans="1:15">
      <c r="A17" s="457"/>
      <c r="B17" s="450"/>
      <c r="C17" s="450"/>
      <c r="D17" s="450"/>
      <c r="E17" s="8" t="s">
        <v>318</v>
      </c>
      <c r="F17" s="71" t="s">
        <v>694</v>
      </c>
      <c r="G17" s="8" t="s">
        <v>634</v>
      </c>
      <c r="H17" s="64" t="s">
        <v>686</v>
      </c>
      <c r="I17" s="8" t="s">
        <v>634</v>
      </c>
      <c r="J17" s="8" t="s">
        <v>638</v>
      </c>
      <c r="K17" s="3" t="s">
        <v>388</v>
      </c>
      <c r="L17" s="9"/>
      <c r="M17" s="80" t="s">
        <v>663</v>
      </c>
    </row>
    <row r="18" spans="1:15" ht="17" thickBot="1">
      <c r="A18" s="458"/>
      <c r="B18" s="451"/>
      <c r="C18" s="451"/>
      <c r="D18" s="451"/>
      <c r="E18" s="22" t="s">
        <v>317</v>
      </c>
      <c r="F18" s="72" t="s">
        <v>695</v>
      </c>
      <c r="G18" s="22" t="s">
        <v>635</v>
      </c>
      <c r="H18" s="65" t="s">
        <v>686</v>
      </c>
      <c r="I18" s="22" t="s">
        <v>635</v>
      </c>
      <c r="J18" s="22" t="s">
        <v>639</v>
      </c>
      <c r="K18" s="6" t="s">
        <v>390</v>
      </c>
      <c r="L18" s="23"/>
      <c r="M18" s="80" t="s">
        <v>663</v>
      </c>
    </row>
    <row r="19" spans="1:15" ht="55" customHeight="1">
      <c r="A19" s="456" t="s">
        <v>30</v>
      </c>
      <c r="B19" s="452">
        <v>16</v>
      </c>
      <c r="C19" s="405" t="s">
        <v>630</v>
      </c>
      <c r="D19" s="452" t="s">
        <v>480</v>
      </c>
      <c r="E19" s="20" t="s">
        <v>251</v>
      </c>
      <c r="F19" s="73"/>
      <c r="G19" s="74"/>
      <c r="H19" s="74"/>
      <c r="I19" s="66" t="s">
        <v>32</v>
      </c>
      <c r="J19" s="20" t="s">
        <v>35</v>
      </c>
      <c r="K19" s="4" t="s">
        <v>387</v>
      </c>
      <c r="L19" s="21" t="s">
        <v>38</v>
      </c>
      <c r="M19" s="80" t="s">
        <v>661</v>
      </c>
      <c r="N19" s="39"/>
    </row>
    <row r="20" spans="1:15" ht="29" customHeight="1" thickBot="1">
      <c r="A20" s="458"/>
      <c r="B20" s="451"/>
      <c r="C20" s="407"/>
      <c r="D20" s="451"/>
      <c r="E20" s="22" t="s">
        <v>4</v>
      </c>
      <c r="F20" s="75"/>
      <c r="G20" s="76"/>
      <c r="H20" s="76"/>
      <c r="I20" s="69" t="s">
        <v>33</v>
      </c>
      <c r="J20" s="22" t="s">
        <v>36</v>
      </c>
      <c r="K20" s="6" t="s">
        <v>374</v>
      </c>
      <c r="L20" s="23" t="s">
        <v>39</v>
      </c>
      <c r="M20" s="80" t="s">
        <v>661</v>
      </c>
      <c r="O20" s="39"/>
    </row>
    <row r="21" spans="1:15" ht="37" customHeight="1">
      <c r="A21" s="456" t="s">
        <v>302</v>
      </c>
      <c r="B21" s="452">
        <v>24</v>
      </c>
      <c r="C21" s="452" t="s">
        <v>392</v>
      </c>
      <c r="D21" s="452" t="s">
        <v>481</v>
      </c>
      <c r="E21" s="20" t="s">
        <v>303</v>
      </c>
      <c r="F21" s="77"/>
      <c r="G21" s="78"/>
      <c r="H21" s="78"/>
      <c r="I21" s="66" t="s">
        <v>305</v>
      </c>
      <c r="J21" s="20" t="s">
        <v>306</v>
      </c>
      <c r="K21" s="4" t="s">
        <v>390</v>
      </c>
      <c r="L21" s="45" t="s">
        <v>307</v>
      </c>
      <c r="M21" s="81" t="s">
        <v>662</v>
      </c>
      <c r="O21" s="39"/>
    </row>
    <row r="22" spans="1:15" ht="88" customHeight="1" thickBot="1">
      <c r="A22" s="458"/>
      <c r="B22" s="451"/>
      <c r="C22" s="451"/>
      <c r="D22" s="451"/>
      <c r="E22" s="22" t="s">
        <v>5</v>
      </c>
      <c r="F22" s="73"/>
      <c r="G22" s="74"/>
      <c r="H22" s="74"/>
      <c r="I22" s="69" t="s">
        <v>310</v>
      </c>
      <c r="J22" s="22" t="s">
        <v>311</v>
      </c>
      <c r="K22" s="6" t="s">
        <v>386</v>
      </c>
      <c r="L22" s="50" t="s">
        <v>312</v>
      </c>
      <c r="M22" s="81" t="s">
        <v>662</v>
      </c>
      <c r="N22" s="39"/>
    </row>
    <row r="23" spans="1:15">
      <c r="A23" s="456" t="s">
        <v>299</v>
      </c>
      <c r="B23" s="452">
        <v>38</v>
      </c>
      <c r="C23" s="452" t="s">
        <v>470</v>
      </c>
      <c r="D23" s="452" t="s">
        <v>472</v>
      </c>
      <c r="E23" s="20" t="s">
        <v>251</v>
      </c>
      <c r="F23" s="70" t="s">
        <v>696</v>
      </c>
      <c r="G23" s="19" t="s">
        <v>507</v>
      </c>
      <c r="H23" s="63" t="s">
        <v>686</v>
      </c>
      <c r="I23" s="19" t="s">
        <v>507</v>
      </c>
      <c r="J23" s="20" t="s">
        <v>514</v>
      </c>
      <c r="K23" s="4" t="s">
        <v>394</v>
      </c>
      <c r="L23" s="21"/>
      <c r="M23" s="80" t="s">
        <v>663</v>
      </c>
    </row>
    <row r="24" spans="1:15">
      <c r="A24" s="457"/>
      <c r="B24" s="450"/>
      <c r="C24" s="450"/>
      <c r="D24" s="450"/>
      <c r="E24" s="8" t="s">
        <v>2</v>
      </c>
      <c r="F24" s="71" t="s">
        <v>697</v>
      </c>
      <c r="G24" s="8" t="s">
        <v>508</v>
      </c>
      <c r="H24" s="64" t="s">
        <v>686</v>
      </c>
      <c r="I24" s="8" t="s">
        <v>508</v>
      </c>
      <c r="J24" s="8" t="s">
        <v>515</v>
      </c>
      <c r="K24" s="3" t="s">
        <v>378</v>
      </c>
      <c r="L24" s="9"/>
      <c r="M24" s="80" t="s">
        <v>663</v>
      </c>
    </row>
    <row r="25" spans="1:15">
      <c r="A25" s="457"/>
      <c r="B25" s="450"/>
      <c r="C25" s="450"/>
      <c r="D25" s="450"/>
      <c r="E25" s="8" t="s">
        <v>300</v>
      </c>
      <c r="F25" s="71" t="s">
        <v>698</v>
      </c>
      <c r="G25" s="8" t="s">
        <v>509</v>
      </c>
      <c r="H25" s="64" t="s">
        <v>686</v>
      </c>
      <c r="I25" s="8" t="s">
        <v>509</v>
      </c>
      <c r="J25" s="8" t="s">
        <v>516</v>
      </c>
      <c r="K25" s="33" t="s">
        <v>379</v>
      </c>
      <c r="L25" s="9"/>
      <c r="M25" s="80" t="s">
        <v>663</v>
      </c>
    </row>
    <row r="26" spans="1:15">
      <c r="A26" s="457"/>
      <c r="B26" s="450"/>
      <c r="C26" s="450"/>
      <c r="D26" s="450"/>
      <c r="E26" s="8" t="s">
        <v>301</v>
      </c>
      <c r="F26" s="71" t="s">
        <v>699</v>
      </c>
      <c r="G26" s="8" t="s">
        <v>510</v>
      </c>
      <c r="H26" s="64" t="s">
        <v>686</v>
      </c>
      <c r="I26" s="8" t="s">
        <v>510</v>
      </c>
      <c r="J26" s="8" t="s">
        <v>517</v>
      </c>
      <c r="K26" s="3" t="s">
        <v>395</v>
      </c>
      <c r="L26" s="9"/>
      <c r="M26" s="80" t="s">
        <v>663</v>
      </c>
      <c r="N26" s="39"/>
    </row>
    <row r="27" spans="1:15">
      <c r="A27" s="457"/>
      <c r="B27" s="450"/>
      <c r="C27" s="450"/>
      <c r="D27" s="450"/>
      <c r="E27" s="8" t="s">
        <v>287</v>
      </c>
      <c r="F27" s="71" t="s">
        <v>700</v>
      </c>
      <c r="G27" s="8" t="s">
        <v>511</v>
      </c>
      <c r="H27" s="64" t="s">
        <v>675</v>
      </c>
      <c r="I27" s="8" t="s">
        <v>511</v>
      </c>
      <c r="J27" s="8" t="s">
        <v>518</v>
      </c>
      <c r="K27" s="33" t="s">
        <v>396</v>
      </c>
      <c r="L27" s="9"/>
      <c r="M27" s="80" t="s">
        <v>663</v>
      </c>
    </row>
    <row r="28" spans="1:15">
      <c r="A28" s="457"/>
      <c r="B28" s="450"/>
      <c r="C28" s="450"/>
      <c r="D28" s="450"/>
      <c r="E28" s="8" t="s">
        <v>1</v>
      </c>
      <c r="F28" s="71" t="s">
        <v>701</v>
      </c>
      <c r="G28" s="8" t="s">
        <v>512</v>
      </c>
      <c r="H28" s="64" t="s">
        <v>686</v>
      </c>
      <c r="I28" s="8" t="s">
        <v>512</v>
      </c>
      <c r="J28" s="8" t="s">
        <v>519</v>
      </c>
      <c r="K28" s="3" t="s">
        <v>397</v>
      </c>
      <c r="L28" s="9"/>
      <c r="M28" s="80" t="s">
        <v>663</v>
      </c>
    </row>
    <row r="29" spans="1:15" ht="17" thickBot="1">
      <c r="A29" s="458"/>
      <c r="B29" s="451"/>
      <c r="C29" s="451"/>
      <c r="D29" s="451"/>
      <c r="E29" s="22" t="s">
        <v>5</v>
      </c>
      <c r="F29" s="72" t="s">
        <v>702</v>
      </c>
      <c r="G29" s="22" t="s">
        <v>513</v>
      </c>
      <c r="H29" s="65" t="s">
        <v>686</v>
      </c>
      <c r="I29" s="22" t="s">
        <v>513</v>
      </c>
      <c r="J29" s="22" t="s">
        <v>520</v>
      </c>
      <c r="K29" s="6" t="s">
        <v>383</v>
      </c>
      <c r="L29" s="23"/>
      <c r="M29" s="80" t="s">
        <v>663</v>
      </c>
    </row>
    <row r="30" spans="1:15" ht="19" customHeight="1">
      <c r="A30" s="471" t="s">
        <v>270</v>
      </c>
      <c r="B30" s="453">
        <v>66</v>
      </c>
      <c r="C30" s="452" t="s">
        <v>471</v>
      </c>
      <c r="D30" s="452" t="s">
        <v>482</v>
      </c>
      <c r="E30" s="47" t="s">
        <v>271</v>
      </c>
      <c r="F30" s="71" t="s">
        <v>710</v>
      </c>
      <c r="G30" s="25" t="s">
        <v>706</v>
      </c>
      <c r="H30" s="64" t="s">
        <v>686</v>
      </c>
      <c r="I30" s="66" t="s">
        <v>640</v>
      </c>
      <c r="J30" s="20" t="s">
        <v>644</v>
      </c>
      <c r="K30" s="16" t="s">
        <v>398</v>
      </c>
      <c r="L30" s="45" t="s">
        <v>284</v>
      </c>
      <c r="M30" s="80" t="s">
        <v>482</v>
      </c>
    </row>
    <row r="31" spans="1:15">
      <c r="A31" s="459"/>
      <c r="B31" s="454"/>
      <c r="C31" s="450"/>
      <c r="D31" s="450"/>
      <c r="E31" s="48" t="s">
        <v>97</v>
      </c>
      <c r="F31" s="71" t="s">
        <v>704</v>
      </c>
      <c r="G31" s="25" t="s">
        <v>707</v>
      </c>
      <c r="H31" s="64" t="s">
        <v>686</v>
      </c>
      <c r="I31" s="67" t="s">
        <v>641</v>
      </c>
      <c r="J31" s="8" t="s">
        <v>645</v>
      </c>
      <c r="K31" s="3" t="s">
        <v>373</v>
      </c>
      <c r="L31" s="46">
        <v>1</v>
      </c>
      <c r="M31" s="80" t="s">
        <v>482</v>
      </c>
    </row>
    <row r="32" spans="1:15">
      <c r="A32" s="459"/>
      <c r="B32" s="454"/>
      <c r="C32" s="450"/>
      <c r="D32" s="450"/>
      <c r="E32" s="48" t="s">
        <v>273</v>
      </c>
      <c r="F32" s="71" t="s">
        <v>703</v>
      </c>
      <c r="G32" s="25" t="s">
        <v>708</v>
      </c>
      <c r="H32" s="64" t="s">
        <v>686</v>
      </c>
      <c r="I32" s="67" t="s">
        <v>642</v>
      </c>
      <c r="J32" s="8" t="s">
        <v>646</v>
      </c>
      <c r="K32" s="3" t="s">
        <v>388</v>
      </c>
      <c r="L32" s="46" t="s">
        <v>285</v>
      </c>
      <c r="M32" s="80" t="s">
        <v>482</v>
      </c>
    </row>
    <row r="33" spans="1:15" ht="29" customHeight="1" thickBot="1">
      <c r="A33" s="460"/>
      <c r="B33" s="455"/>
      <c r="C33" s="451"/>
      <c r="D33" s="451"/>
      <c r="E33" s="49" t="s">
        <v>5</v>
      </c>
      <c r="F33" s="72" t="s">
        <v>705</v>
      </c>
      <c r="G33" s="62" t="s">
        <v>709</v>
      </c>
      <c r="H33" s="64" t="s">
        <v>686</v>
      </c>
      <c r="I33" s="69" t="s">
        <v>643</v>
      </c>
      <c r="J33" s="22" t="s">
        <v>647</v>
      </c>
      <c r="K33" s="6" t="s">
        <v>383</v>
      </c>
      <c r="L33" s="50">
        <v>1</v>
      </c>
      <c r="M33" s="80" t="s">
        <v>482</v>
      </c>
      <c r="N33" s="39"/>
    </row>
    <row r="34" spans="1:15" ht="19" customHeight="1">
      <c r="A34" s="471" t="s">
        <v>286</v>
      </c>
      <c r="B34" s="453">
        <v>30</v>
      </c>
      <c r="C34" s="452" t="s">
        <v>473</v>
      </c>
      <c r="D34" s="452" t="s">
        <v>483</v>
      </c>
      <c r="E34" s="47" t="s">
        <v>2</v>
      </c>
      <c r="F34" s="77"/>
      <c r="G34" s="78"/>
      <c r="H34" s="78"/>
      <c r="I34" s="66" t="s">
        <v>521</v>
      </c>
      <c r="J34" s="20" t="s">
        <v>531</v>
      </c>
      <c r="K34" s="4" t="s">
        <v>378</v>
      </c>
      <c r="L34" s="45" t="s">
        <v>290</v>
      </c>
      <c r="M34" s="81" t="s">
        <v>728</v>
      </c>
    </row>
    <row r="35" spans="1:15" ht="17">
      <c r="A35" s="459"/>
      <c r="B35" s="454"/>
      <c r="C35" s="450"/>
      <c r="D35" s="450"/>
      <c r="E35" s="48" t="s">
        <v>3</v>
      </c>
      <c r="F35" s="73"/>
      <c r="G35" s="74"/>
      <c r="H35" s="74"/>
      <c r="I35" s="67" t="s">
        <v>522</v>
      </c>
      <c r="J35" s="8" t="s">
        <v>532</v>
      </c>
      <c r="K35" s="3" t="s">
        <v>400</v>
      </c>
      <c r="L35" s="46" t="s">
        <v>291</v>
      </c>
      <c r="M35" s="81" t="s">
        <v>728</v>
      </c>
    </row>
    <row r="36" spans="1:15" ht="17">
      <c r="A36" s="459"/>
      <c r="B36" s="454"/>
      <c r="C36" s="450"/>
      <c r="D36" s="450"/>
      <c r="E36" s="48" t="s">
        <v>117</v>
      </c>
      <c r="F36" s="73"/>
      <c r="G36" s="74"/>
      <c r="H36" s="74"/>
      <c r="I36" s="67" t="s">
        <v>523</v>
      </c>
      <c r="J36" s="8" t="s">
        <v>533</v>
      </c>
      <c r="K36" s="3" t="s">
        <v>401</v>
      </c>
      <c r="L36" s="46" t="s">
        <v>292</v>
      </c>
      <c r="M36" s="81" t="s">
        <v>728</v>
      </c>
    </row>
    <row r="37" spans="1:15" ht="17">
      <c r="A37" s="459"/>
      <c r="B37" s="454"/>
      <c r="C37" s="450"/>
      <c r="D37" s="450"/>
      <c r="E37" s="48" t="s">
        <v>98</v>
      </c>
      <c r="F37" s="73"/>
      <c r="G37" s="74"/>
      <c r="H37" s="74"/>
      <c r="I37" s="67" t="s">
        <v>524</v>
      </c>
      <c r="J37" s="8" t="s">
        <v>534</v>
      </c>
      <c r="K37" s="3" t="s">
        <v>395</v>
      </c>
      <c r="L37" s="46" t="s">
        <v>259</v>
      </c>
      <c r="M37" s="81" t="s">
        <v>728</v>
      </c>
      <c r="O37" s="39"/>
    </row>
    <row r="38" spans="1:15" ht="17">
      <c r="A38" s="459"/>
      <c r="B38" s="454"/>
      <c r="C38" s="450"/>
      <c r="D38" s="450"/>
      <c r="E38" s="48" t="s">
        <v>287</v>
      </c>
      <c r="F38" s="73"/>
      <c r="G38" s="74"/>
      <c r="H38" s="74"/>
      <c r="I38" s="67" t="s">
        <v>525</v>
      </c>
      <c r="J38" s="8" t="s">
        <v>535</v>
      </c>
      <c r="K38" s="3" t="s">
        <v>382</v>
      </c>
      <c r="L38" s="46" t="s">
        <v>293</v>
      </c>
      <c r="M38" s="81" t="s">
        <v>728</v>
      </c>
    </row>
    <row r="39" spans="1:15" ht="17">
      <c r="A39" s="459"/>
      <c r="B39" s="454"/>
      <c r="C39" s="450"/>
      <c r="D39" s="450"/>
      <c r="E39" s="48" t="s">
        <v>121</v>
      </c>
      <c r="F39" s="73"/>
      <c r="G39" s="74"/>
      <c r="H39" s="74"/>
      <c r="I39" s="67" t="s">
        <v>526</v>
      </c>
      <c r="J39" s="8" t="s">
        <v>536</v>
      </c>
      <c r="K39" s="3" t="s">
        <v>402</v>
      </c>
      <c r="L39" s="46" t="s">
        <v>294</v>
      </c>
      <c r="M39" s="81" t="s">
        <v>728</v>
      </c>
      <c r="N39" s="39"/>
    </row>
    <row r="40" spans="1:15" ht="17">
      <c r="A40" s="459"/>
      <c r="B40" s="454"/>
      <c r="C40" s="450"/>
      <c r="D40" s="450"/>
      <c r="E40" s="48" t="s">
        <v>288</v>
      </c>
      <c r="F40" s="73"/>
      <c r="G40" s="74"/>
      <c r="H40" s="74"/>
      <c r="I40" s="67" t="s">
        <v>527</v>
      </c>
      <c r="J40" s="8" t="s">
        <v>537</v>
      </c>
      <c r="K40" s="3" t="s">
        <v>403</v>
      </c>
      <c r="L40" s="46" t="s">
        <v>295</v>
      </c>
      <c r="M40" s="81" t="s">
        <v>728</v>
      </c>
    </row>
    <row r="41" spans="1:15" ht="17">
      <c r="A41" s="459"/>
      <c r="B41" s="454"/>
      <c r="C41" s="450"/>
      <c r="D41" s="450"/>
      <c r="E41" s="48" t="s">
        <v>1</v>
      </c>
      <c r="F41" s="73"/>
      <c r="G41" s="74"/>
      <c r="H41" s="74"/>
      <c r="I41" s="67" t="s">
        <v>528</v>
      </c>
      <c r="J41" s="8" t="s">
        <v>538</v>
      </c>
      <c r="K41" s="3" t="s">
        <v>377</v>
      </c>
      <c r="L41" s="46" t="s">
        <v>296</v>
      </c>
      <c r="M41" s="81" t="s">
        <v>728</v>
      </c>
    </row>
    <row r="42" spans="1:15" ht="17">
      <c r="A42" s="459"/>
      <c r="B42" s="454"/>
      <c r="C42" s="450"/>
      <c r="D42" s="450"/>
      <c r="E42" s="48" t="s">
        <v>5</v>
      </c>
      <c r="F42" s="73"/>
      <c r="G42" s="74"/>
      <c r="H42" s="74"/>
      <c r="I42" s="67" t="s">
        <v>529</v>
      </c>
      <c r="J42" s="8" t="s">
        <v>539</v>
      </c>
      <c r="K42" s="3" t="s">
        <v>383</v>
      </c>
      <c r="L42" s="46" t="s">
        <v>297</v>
      </c>
      <c r="M42" s="81" t="s">
        <v>728</v>
      </c>
    </row>
    <row r="43" spans="1:15" ht="18" thickBot="1">
      <c r="A43" s="460"/>
      <c r="B43" s="455"/>
      <c r="C43" s="451"/>
      <c r="D43" s="451"/>
      <c r="E43" s="49" t="s">
        <v>289</v>
      </c>
      <c r="F43" s="75"/>
      <c r="G43" s="76"/>
      <c r="H43" s="76"/>
      <c r="I43" s="69" t="s">
        <v>530</v>
      </c>
      <c r="J43" s="22" t="s">
        <v>540</v>
      </c>
      <c r="K43" s="6" t="s">
        <v>404</v>
      </c>
      <c r="L43" s="50" t="s">
        <v>298</v>
      </c>
      <c r="M43" s="81" t="s">
        <v>728</v>
      </c>
    </row>
    <row r="44" spans="1:15" ht="32" customHeight="1">
      <c r="A44" s="456" t="s">
        <v>41</v>
      </c>
      <c r="B44" s="452">
        <v>102</v>
      </c>
      <c r="C44" s="4" t="s">
        <v>244</v>
      </c>
      <c r="D44" s="452" t="s">
        <v>484</v>
      </c>
      <c r="E44" s="20" t="s">
        <v>303</v>
      </c>
      <c r="F44" s="77"/>
      <c r="G44" s="78"/>
      <c r="H44" s="78"/>
      <c r="I44" s="66" t="s">
        <v>43</v>
      </c>
      <c r="J44" s="20" t="s">
        <v>65</v>
      </c>
      <c r="K44" s="4" t="s">
        <v>404</v>
      </c>
      <c r="L44" s="21"/>
      <c r="M44" s="80" t="s">
        <v>660</v>
      </c>
    </row>
    <row r="45" spans="1:15">
      <c r="A45" s="457"/>
      <c r="B45" s="450"/>
      <c r="C45" s="3" t="s">
        <v>242</v>
      </c>
      <c r="D45" s="450"/>
      <c r="E45" s="8" t="s">
        <v>408</v>
      </c>
      <c r="F45" s="73"/>
      <c r="G45" s="74"/>
      <c r="H45" s="74"/>
      <c r="I45" s="67" t="s">
        <v>46</v>
      </c>
      <c r="J45" s="8" t="s">
        <v>68</v>
      </c>
      <c r="K45" s="3" t="s">
        <v>423</v>
      </c>
      <c r="L45" s="9" t="s">
        <v>87</v>
      </c>
      <c r="M45" s="80" t="s">
        <v>660</v>
      </c>
    </row>
    <row r="46" spans="1:15">
      <c r="A46" s="457"/>
      <c r="B46" s="450"/>
      <c r="C46" s="3" t="s">
        <v>243</v>
      </c>
      <c r="D46" s="450"/>
      <c r="E46" s="8" t="s">
        <v>409</v>
      </c>
      <c r="F46" s="73"/>
      <c r="G46" s="74"/>
      <c r="H46" s="74"/>
      <c r="I46" s="67" t="s">
        <v>47</v>
      </c>
      <c r="J46" s="8" t="s">
        <v>69</v>
      </c>
      <c r="K46" s="3" t="s">
        <v>424</v>
      </c>
      <c r="L46" s="46"/>
      <c r="M46" s="80" t="s">
        <v>660</v>
      </c>
    </row>
    <row r="47" spans="1:15">
      <c r="A47" s="457"/>
      <c r="B47" s="450"/>
      <c r="D47" s="450"/>
      <c r="E47" s="8" t="s">
        <v>1</v>
      </c>
      <c r="F47" s="73"/>
      <c r="G47" s="74"/>
      <c r="H47" s="74"/>
      <c r="I47" s="67" t="s">
        <v>48</v>
      </c>
      <c r="J47" s="8" t="s">
        <v>70</v>
      </c>
      <c r="K47" s="3" t="s">
        <v>377</v>
      </c>
      <c r="L47" s="9" t="s">
        <v>88</v>
      </c>
      <c r="M47" s="80" t="s">
        <v>660</v>
      </c>
    </row>
    <row r="48" spans="1:15">
      <c r="A48" s="457"/>
      <c r="B48" s="450"/>
      <c r="C48" s="3"/>
      <c r="D48" s="450"/>
      <c r="E48" s="8" t="s">
        <v>410</v>
      </c>
      <c r="F48" s="73"/>
      <c r="G48" s="74"/>
      <c r="H48" s="74"/>
      <c r="I48" s="67" t="s">
        <v>49</v>
      </c>
      <c r="J48" s="8" t="s">
        <v>71</v>
      </c>
      <c r="K48" s="3" t="s">
        <v>425</v>
      </c>
      <c r="L48" s="9" t="s">
        <v>89</v>
      </c>
      <c r="M48" s="80" t="s">
        <v>660</v>
      </c>
    </row>
    <row r="49" spans="1:15">
      <c r="A49" s="457"/>
      <c r="B49" s="450"/>
      <c r="C49" s="3"/>
      <c r="D49" s="450"/>
      <c r="E49" s="8" t="s">
        <v>411</v>
      </c>
      <c r="F49" s="73"/>
      <c r="G49" s="74"/>
      <c r="H49" s="74"/>
      <c r="I49" s="67" t="s">
        <v>50</v>
      </c>
      <c r="J49" s="8" t="s">
        <v>72</v>
      </c>
      <c r="K49" s="3" t="s">
        <v>426</v>
      </c>
      <c r="L49" s="46"/>
      <c r="M49" s="80" t="s">
        <v>660</v>
      </c>
      <c r="N49" s="3"/>
    </row>
    <row r="50" spans="1:15">
      <c r="A50" s="457"/>
      <c r="B50" s="450"/>
      <c r="C50" s="3"/>
      <c r="D50" s="450"/>
      <c r="E50" s="8" t="s">
        <v>315</v>
      </c>
      <c r="F50" s="73"/>
      <c r="G50" s="74"/>
      <c r="H50" s="74"/>
      <c r="I50" s="67" t="s">
        <v>51</v>
      </c>
      <c r="J50" s="8" t="s">
        <v>73</v>
      </c>
      <c r="K50" s="3" t="s">
        <v>394</v>
      </c>
      <c r="L50" s="9"/>
      <c r="M50" s="80" t="s">
        <v>660</v>
      </c>
    </row>
    <row r="51" spans="1:15">
      <c r="A51" s="457"/>
      <c r="B51" s="450"/>
      <c r="C51" s="3"/>
      <c r="D51" s="450"/>
      <c r="E51" s="8" t="s">
        <v>300</v>
      </c>
      <c r="F51" s="73"/>
      <c r="G51" s="74"/>
      <c r="H51" s="74"/>
      <c r="I51" s="67" t="s">
        <v>53</v>
      </c>
      <c r="J51" s="8" t="s">
        <v>75</v>
      </c>
      <c r="K51" s="3" t="s">
        <v>428</v>
      </c>
      <c r="L51" s="9"/>
      <c r="M51" s="80" t="s">
        <v>660</v>
      </c>
    </row>
    <row r="52" spans="1:15">
      <c r="A52" s="457"/>
      <c r="B52" s="450"/>
      <c r="C52" s="3"/>
      <c r="D52" s="450"/>
      <c r="E52" s="8" t="s">
        <v>413</v>
      </c>
      <c r="F52" s="73"/>
      <c r="G52" s="74"/>
      <c r="H52" s="74"/>
      <c r="I52" s="67" t="s">
        <v>54</v>
      </c>
      <c r="J52" s="8" t="s">
        <v>76</v>
      </c>
      <c r="K52" s="3" t="s">
        <v>429</v>
      </c>
      <c r="L52" s="9" t="s">
        <v>86</v>
      </c>
      <c r="M52" s="80" t="s">
        <v>660</v>
      </c>
    </row>
    <row r="53" spans="1:15">
      <c r="A53" s="457"/>
      <c r="B53" s="450"/>
      <c r="C53" s="3"/>
      <c r="D53" s="450"/>
      <c r="E53" s="8" t="s">
        <v>414</v>
      </c>
      <c r="F53" s="73"/>
      <c r="G53" s="74"/>
      <c r="H53" s="74"/>
      <c r="I53" s="67" t="s">
        <v>55</v>
      </c>
      <c r="J53" s="8" t="s">
        <v>77</v>
      </c>
      <c r="K53" s="3" t="s">
        <v>374</v>
      </c>
      <c r="L53" s="9"/>
      <c r="M53" s="80" t="s">
        <v>660</v>
      </c>
    </row>
    <row r="54" spans="1:15">
      <c r="A54" s="457"/>
      <c r="B54" s="450"/>
      <c r="C54" s="3"/>
      <c r="D54" s="450"/>
      <c r="E54" s="8" t="s">
        <v>263</v>
      </c>
      <c r="F54" s="73"/>
      <c r="G54" s="74"/>
      <c r="H54" s="74"/>
      <c r="I54" s="67" t="s">
        <v>56</v>
      </c>
      <c r="J54" s="8" t="s">
        <v>78</v>
      </c>
      <c r="K54" s="3" t="s">
        <v>430</v>
      </c>
      <c r="L54" s="9"/>
      <c r="M54" s="80" t="s">
        <v>660</v>
      </c>
    </row>
    <row r="55" spans="1:15">
      <c r="A55" s="457"/>
      <c r="B55" s="450"/>
      <c r="C55" s="3"/>
      <c r="D55" s="450"/>
      <c r="E55" s="8" t="s">
        <v>98</v>
      </c>
      <c r="F55" s="73"/>
      <c r="G55" s="74"/>
      <c r="H55" s="74"/>
      <c r="I55" s="67" t="s">
        <v>58</v>
      </c>
      <c r="J55" s="8" t="s">
        <v>80</v>
      </c>
      <c r="K55" s="3" t="s">
        <v>432</v>
      </c>
      <c r="L55" s="9"/>
      <c r="M55" s="80" t="s">
        <v>660</v>
      </c>
    </row>
    <row r="56" spans="1:15">
      <c r="A56" s="457"/>
      <c r="B56" s="450"/>
      <c r="C56" s="3"/>
      <c r="D56" s="450"/>
      <c r="E56" s="8" t="s">
        <v>416</v>
      </c>
      <c r="F56" s="73"/>
      <c r="G56" s="74"/>
      <c r="H56" s="74"/>
      <c r="I56" s="67" t="s">
        <v>59</v>
      </c>
      <c r="J56" s="8" t="s">
        <v>81</v>
      </c>
      <c r="K56" s="3" t="s">
        <v>433</v>
      </c>
      <c r="L56" s="9"/>
      <c r="M56" s="80" t="s">
        <v>660</v>
      </c>
    </row>
    <row r="57" spans="1:15" ht="17" thickBot="1">
      <c r="A57" s="458"/>
      <c r="B57" s="451"/>
      <c r="C57" s="6"/>
      <c r="D57" s="451"/>
      <c r="E57" s="22" t="s">
        <v>5</v>
      </c>
      <c r="F57" s="75"/>
      <c r="G57" s="76"/>
      <c r="H57" s="76"/>
      <c r="I57" s="69" t="s">
        <v>63</v>
      </c>
      <c r="J57" s="22" t="s">
        <v>85</v>
      </c>
      <c r="K57" s="6" t="s">
        <v>386</v>
      </c>
      <c r="L57" s="23"/>
      <c r="M57" s="80" t="s">
        <v>660</v>
      </c>
    </row>
    <row r="58" spans="1:15">
      <c r="A58" s="456" t="s">
        <v>91</v>
      </c>
      <c r="B58" s="452">
        <v>166</v>
      </c>
      <c r="C58" s="4" t="s">
        <v>245</v>
      </c>
      <c r="D58" s="452" t="s">
        <v>485</v>
      </c>
      <c r="E58" s="462" t="s">
        <v>92</v>
      </c>
      <c r="F58" s="77"/>
      <c r="G58" s="78"/>
      <c r="H58" s="78"/>
      <c r="I58" s="472" t="s">
        <v>541</v>
      </c>
      <c r="J58" s="462" t="s">
        <v>93</v>
      </c>
      <c r="K58" s="452" t="s">
        <v>437</v>
      </c>
      <c r="L58" s="465" t="s">
        <v>94</v>
      </c>
      <c r="M58" s="461" t="s">
        <v>485</v>
      </c>
    </row>
    <row r="59" spans="1:15">
      <c r="A59" s="457"/>
      <c r="B59" s="450"/>
      <c r="C59" s="3"/>
      <c r="D59" s="450"/>
      <c r="E59" s="463"/>
      <c r="F59" s="73"/>
      <c r="G59" s="74"/>
      <c r="H59" s="74"/>
      <c r="I59" s="473"/>
      <c r="J59" s="463"/>
      <c r="K59" s="450"/>
      <c r="L59" s="466"/>
      <c r="M59" s="461"/>
    </row>
    <row r="60" spans="1:15">
      <c r="A60" s="457"/>
      <c r="B60" s="450"/>
      <c r="C60" s="3" t="s">
        <v>247</v>
      </c>
      <c r="D60" s="450"/>
      <c r="E60" s="463"/>
      <c r="F60" s="73"/>
      <c r="G60" s="74"/>
      <c r="H60" s="74"/>
      <c r="I60" s="473"/>
      <c r="J60" s="463"/>
      <c r="K60" s="450"/>
      <c r="L60" s="466"/>
      <c r="M60" s="461"/>
      <c r="O60" s="39"/>
    </row>
    <row r="61" spans="1:15">
      <c r="A61" s="457"/>
      <c r="B61" s="450"/>
      <c r="C61" s="3"/>
      <c r="D61" s="450"/>
      <c r="E61" s="463"/>
      <c r="F61" s="73"/>
      <c r="G61" s="74"/>
      <c r="H61" s="74"/>
      <c r="I61" s="473"/>
      <c r="J61" s="463"/>
      <c r="K61" s="450"/>
      <c r="L61" s="466"/>
      <c r="M61" s="461"/>
    </row>
    <row r="62" spans="1:15" ht="17" thickBot="1">
      <c r="A62" s="458"/>
      <c r="B62" s="451"/>
      <c r="C62" s="6" t="s">
        <v>246</v>
      </c>
      <c r="D62" s="451"/>
      <c r="E62" s="464"/>
      <c r="F62" s="75"/>
      <c r="G62" s="76"/>
      <c r="H62" s="76"/>
      <c r="I62" s="474"/>
      <c r="J62" s="464"/>
      <c r="K62" s="451"/>
      <c r="L62" s="467"/>
      <c r="M62" s="461"/>
    </row>
    <row r="63" spans="1:15">
      <c r="A63" s="456" t="s">
        <v>95</v>
      </c>
      <c r="B63" s="452">
        <v>95</v>
      </c>
      <c r="C63" s="452" t="s">
        <v>96</v>
      </c>
      <c r="D63" s="452" t="s">
        <v>474</v>
      </c>
      <c r="E63" s="20" t="s">
        <v>2</v>
      </c>
      <c r="F63" s="77"/>
      <c r="G63" s="78"/>
      <c r="H63" s="78"/>
      <c r="I63" s="66" t="s">
        <v>100</v>
      </c>
      <c r="J63" s="20" t="s">
        <v>106</v>
      </c>
      <c r="K63" s="4" t="s">
        <v>378</v>
      </c>
      <c r="L63" s="21" t="s">
        <v>114</v>
      </c>
      <c r="M63" s="80" t="s">
        <v>474</v>
      </c>
    </row>
    <row r="64" spans="1:15">
      <c r="A64" s="457"/>
      <c r="B64" s="450"/>
      <c r="C64" s="450"/>
      <c r="D64" s="450"/>
      <c r="E64" s="8" t="s">
        <v>3</v>
      </c>
      <c r="F64" s="73"/>
      <c r="G64" s="74"/>
      <c r="H64" s="74"/>
      <c r="I64" s="67" t="s">
        <v>101</v>
      </c>
      <c r="J64" s="8" t="s">
        <v>107</v>
      </c>
      <c r="K64" s="3" t="s">
        <v>400</v>
      </c>
      <c r="L64" s="9" t="s">
        <v>114</v>
      </c>
      <c r="M64" s="80" t="s">
        <v>474</v>
      </c>
    </row>
    <row r="65" spans="1:14">
      <c r="A65" s="457"/>
      <c r="B65" s="450"/>
      <c r="C65" s="450"/>
      <c r="D65" s="450"/>
      <c r="E65" s="8" t="s">
        <v>4</v>
      </c>
      <c r="F65" s="73"/>
      <c r="G65" s="74"/>
      <c r="H65" s="74"/>
      <c r="I65" s="67" t="s">
        <v>102</v>
      </c>
      <c r="J65" s="8" t="s">
        <v>108</v>
      </c>
      <c r="K65" s="3" t="s">
        <v>438</v>
      </c>
      <c r="L65" s="9" t="s">
        <v>114</v>
      </c>
      <c r="M65" s="80" t="s">
        <v>474</v>
      </c>
    </row>
    <row r="66" spans="1:14">
      <c r="A66" s="457"/>
      <c r="B66" s="450"/>
      <c r="C66" s="450"/>
      <c r="D66" s="450"/>
      <c r="E66" s="8" t="s">
        <v>97</v>
      </c>
      <c r="F66" s="73"/>
      <c r="G66" s="74"/>
      <c r="H66" s="74"/>
      <c r="I66" s="67" t="s">
        <v>103</v>
      </c>
      <c r="J66" s="8" t="s">
        <v>109</v>
      </c>
      <c r="K66" s="3" t="s">
        <v>439</v>
      </c>
      <c r="L66" s="9" t="s">
        <v>115</v>
      </c>
      <c r="M66" s="80" t="s">
        <v>474</v>
      </c>
      <c r="N66" s="39"/>
    </row>
    <row r="67" spans="1:14">
      <c r="A67" s="457"/>
      <c r="B67" s="450"/>
      <c r="C67" s="450"/>
      <c r="D67" s="450"/>
      <c r="E67" s="8" t="s">
        <v>98</v>
      </c>
      <c r="F67" s="73"/>
      <c r="G67" s="74"/>
      <c r="H67" s="74"/>
      <c r="I67" s="67" t="s">
        <v>584</v>
      </c>
      <c r="J67" s="8" t="s">
        <v>110</v>
      </c>
      <c r="K67" s="3" t="s">
        <v>432</v>
      </c>
      <c r="L67" s="9" t="s">
        <v>114</v>
      </c>
      <c r="M67" s="80" t="s">
        <v>474</v>
      </c>
    </row>
    <row r="68" spans="1:14">
      <c r="A68" s="457"/>
      <c r="B68" s="450"/>
      <c r="C68" s="450"/>
      <c r="D68" s="450"/>
      <c r="E68" s="8" t="s">
        <v>5</v>
      </c>
      <c r="F68" s="73"/>
      <c r="G68" s="74"/>
      <c r="H68" s="74"/>
      <c r="I68" s="67" t="s">
        <v>104</v>
      </c>
      <c r="J68" s="8" t="s">
        <v>111</v>
      </c>
      <c r="K68" s="3" t="s">
        <v>386</v>
      </c>
      <c r="L68" s="9" t="s">
        <v>114</v>
      </c>
      <c r="M68" s="80" t="s">
        <v>474</v>
      </c>
    </row>
    <row r="69" spans="1:14">
      <c r="A69" s="457"/>
      <c r="B69" s="450"/>
      <c r="C69" s="450"/>
      <c r="D69" s="450"/>
      <c r="E69" s="8" t="s">
        <v>1</v>
      </c>
      <c r="F69" s="73"/>
      <c r="G69" s="74"/>
      <c r="H69" s="74"/>
      <c r="I69" s="67" t="s">
        <v>105</v>
      </c>
      <c r="J69" s="8" t="s">
        <v>112</v>
      </c>
      <c r="K69" s="3" t="s">
        <v>397</v>
      </c>
      <c r="L69" s="9" t="s">
        <v>114</v>
      </c>
      <c r="M69" s="80" t="s">
        <v>474</v>
      </c>
    </row>
    <row r="70" spans="1:14" ht="17" thickBot="1">
      <c r="A70" s="458"/>
      <c r="B70" s="451"/>
      <c r="C70" s="451"/>
      <c r="D70" s="451"/>
      <c r="E70" s="22" t="s">
        <v>99</v>
      </c>
      <c r="F70" s="75"/>
      <c r="G70" s="76"/>
      <c r="H70" s="76"/>
      <c r="I70" s="69" t="s">
        <v>608</v>
      </c>
      <c r="J70" s="22" t="s">
        <v>113</v>
      </c>
      <c r="K70" s="6" t="s">
        <v>440</v>
      </c>
      <c r="L70" s="23" t="s">
        <v>114</v>
      </c>
      <c r="M70" s="80" t="s">
        <v>474</v>
      </c>
    </row>
    <row r="71" spans="1:14" ht="16" customHeight="1">
      <c r="A71" s="456" t="s">
        <v>333</v>
      </c>
      <c r="B71" s="452">
        <v>38</v>
      </c>
      <c r="C71" s="452" t="s">
        <v>334</v>
      </c>
      <c r="D71" s="452" t="s">
        <v>475</v>
      </c>
      <c r="E71" s="20" t="s">
        <v>5</v>
      </c>
      <c r="F71" s="77"/>
      <c r="G71" s="78"/>
      <c r="H71" s="78"/>
      <c r="I71" s="66" t="s">
        <v>335</v>
      </c>
      <c r="J71" s="20" t="s">
        <v>336</v>
      </c>
      <c r="K71" s="4" t="s">
        <v>383</v>
      </c>
      <c r="L71" s="21" t="s">
        <v>337</v>
      </c>
      <c r="M71" s="80" t="s">
        <v>475</v>
      </c>
    </row>
    <row r="72" spans="1:14">
      <c r="A72" s="457"/>
      <c r="B72" s="450"/>
      <c r="C72" s="450"/>
      <c r="D72" s="450"/>
      <c r="E72" s="8" t="s">
        <v>414</v>
      </c>
      <c r="F72" s="73"/>
      <c r="G72" s="74"/>
      <c r="H72" s="74"/>
      <c r="I72" s="67" t="s">
        <v>338</v>
      </c>
      <c r="J72" s="8" t="s">
        <v>339</v>
      </c>
      <c r="K72" s="3" t="s">
        <v>374</v>
      </c>
      <c r="L72" s="9" t="s">
        <v>340</v>
      </c>
      <c r="M72" s="80" t="s">
        <v>475</v>
      </c>
    </row>
    <row r="73" spans="1:14" ht="17" thickBot="1">
      <c r="A73" s="458"/>
      <c r="B73" s="451"/>
      <c r="C73" s="451"/>
      <c r="D73" s="451"/>
      <c r="E73" s="22" t="s">
        <v>98</v>
      </c>
      <c r="F73" s="75"/>
      <c r="G73" s="76"/>
      <c r="H73" s="76"/>
      <c r="I73" s="69" t="s">
        <v>341</v>
      </c>
      <c r="J73" s="22" t="s">
        <v>342</v>
      </c>
      <c r="K73" s="6" t="s">
        <v>395</v>
      </c>
      <c r="L73" s="23" t="s">
        <v>88</v>
      </c>
      <c r="M73" s="80" t="s">
        <v>475</v>
      </c>
    </row>
    <row r="74" spans="1:14">
      <c r="A74" s="456" t="s">
        <v>248</v>
      </c>
      <c r="B74" s="452">
        <v>50</v>
      </c>
      <c r="C74" s="452" t="s">
        <v>249</v>
      </c>
      <c r="D74" s="453" t="s">
        <v>469</v>
      </c>
      <c r="E74" s="20" t="s">
        <v>2</v>
      </c>
      <c r="F74" s="77"/>
      <c r="G74" s="78"/>
      <c r="H74" s="78"/>
      <c r="I74" s="66" t="s">
        <v>542</v>
      </c>
      <c r="J74" s="20" t="s">
        <v>552</v>
      </c>
      <c r="K74" s="4" t="s">
        <v>378</v>
      </c>
      <c r="L74" s="21" t="s">
        <v>250</v>
      </c>
      <c r="M74" s="80" t="s">
        <v>469</v>
      </c>
    </row>
    <row r="75" spans="1:14">
      <c r="A75" s="457"/>
      <c r="B75" s="450"/>
      <c r="C75" s="450"/>
      <c r="D75" s="454"/>
      <c r="E75" s="8" t="s">
        <v>1</v>
      </c>
      <c r="F75" s="73"/>
      <c r="G75" s="74"/>
      <c r="H75" s="74"/>
      <c r="I75" s="67" t="s">
        <v>543</v>
      </c>
      <c r="J75" s="8" t="s">
        <v>553</v>
      </c>
      <c r="K75" s="3" t="s">
        <v>397</v>
      </c>
      <c r="L75" s="9" t="s">
        <v>253</v>
      </c>
      <c r="M75" s="80" t="s">
        <v>469</v>
      </c>
    </row>
    <row r="76" spans="1:14">
      <c r="A76" s="457"/>
      <c r="B76" s="450"/>
      <c r="C76" s="450"/>
      <c r="D76" s="454"/>
      <c r="E76" s="8" t="s">
        <v>5</v>
      </c>
      <c r="F76" s="73"/>
      <c r="G76" s="74"/>
      <c r="H76" s="74"/>
      <c r="I76" s="67" t="s">
        <v>544</v>
      </c>
      <c r="J76" s="8" t="s">
        <v>554</v>
      </c>
      <c r="K76" s="3" t="s">
        <v>386</v>
      </c>
      <c r="L76" s="9" t="s">
        <v>254</v>
      </c>
      <c r="M76" s="80" t="s">
        <v>469</v>
      </c>
    </row>
    <row r="77" spans="1:14">
      <c r="A77" s="457"/>
      <c r="B77" s="450"/>
      <c r="C77" s="450"/>
      <c r="D77" s="454"/>
      <c r="E77" s="8" t="s">
        <v>3</v>
      </c>
      <c r="F77" s="73"/>
      <c r="G77" s="74"/>
      <c r="H77" s="74"/>
      <c r="I77" s="67" t="s">
        <v>545</v>
      </c>
      <c r="J77" s="8" t="s">
        <v>555</v>
      </c>
      <c r="K77" s="3" t="s">
        <v>400</v>
      </c>
      <c r="L77" s="9" t="s">
        <v>255</v>
      </c>
      <c r="M77" s="80" t="s">
        <v>469</v>
      </c>
    </row>
    <row r="78" spans="1:14">
      <c r="A78" s="457"/>
      <c r="B78" s="450"/>
      <c r="C78" s="450"/>
      <c r="D78" s="454"/>
      <c r="E78" s="8" t="s">
        <v>117</v>
      </c>
      <c r="F78" s="73"/>
      <c r="G78" s="74"/>
      <c r="H78" s="74"/>
      <c r="I78" s="67" t="s">
        <v>546</v>
      </c>
      <c r="J78" s="8" t="s">
        <v>556</v>
      </c>
      <c r="K78" s="3" t="s">
        <v>401</v>
      </c>
      <c r="L78" s="9" t="s">
        <v>256</v>
      </c>
      <c r="M78" s="80" t="s">
        <v>469</v>
      </c>
    </row>
    <row r="79" spans="1:14">
      <c r="A79" s="457"/>
      <c r="B79" s="450"/>
      <c r="C79" s="450"/>
      <c r="D79" s="454"/>
      <c r="E79" s="8" t="s">
        <v>4</v>
      </c>
      <c r="F79" s="73"/>
      <c r="G79" s="74"/>
      <c r="H79" s="74"/>
      <c r="I79" s="67" t="s">
        <v>547</v>
      </c>
      <c r="J79" s="8" t="s">
        <v>557</v>
      </c>
      <c r="K79" s="3" t="s">
        <v>438</v>
      </c>
      <c r="L79" s="9" t="s">
        <v>257</v>
      </c>
      <c r="M79" s="80" t="s">
        <v>469</v>
      </c>
      <c r="N79" s="39"/>
    </row>
    <row r="80" spans="1:14">
      <c r="A80" s="457"/>
      <c r="B80" s="450"/>
      <c r="C80" s="450"/>
      <c r="D80" s="454"/>
      <c r="E80" s="8" t="s">
        <v>98</v>
      </c>
      <c r="F80" s="73"/>
      <c r="G80" s="74"/>
      <c r="H80" s="74"/>
      <c r="I80" s="67" t="s">
        <v>548</v>
      </c>
      <c r="J80" s="8" t="s">
        <v>558</v>
      </c>
      <c r="K80" s="3" t="s">
        <v>395</v>
      </c>
      <c r="L80" s="9" t="s">
        <v>258</v>
      </c>
      <c r="M80" s="80" t="s">
        <v>469</v>
      </c>
    </row>
    <row r="81" spans="1:13">
      <c r="A81" s="457"/>
      <c r="B81" s="450"/>
      <c r="C81" s="450"/>
      <c r="D81" s="454"/>
      <c r="E81" s="8" t="s">
        <v>251</v>
      </c>
      <c r="F81" s="73"/>
      <c r="G81" s="74"/>
      <c r="H81" s="74"/>
      <c r="I81" s="67" t="s">
        <v>549</v>
      </c>
      <c r="J81" s="8" t="s">
        <v>559</v>
      </c>
      <c r="K81" s="3" t="s">
        <v>387</v>
      </c>
      <c r="L81" s="9" t="s">
        <v>259</v>
      </c>
      <c r="M81" s="80" t="s">
        <v>469</v>
      </c>
    </row>
    <row r="82" spans="1:13">
      <c r="A82" s="457"/>
      <c r="B82" s="450"/>
      <c r="C82" s="450"/>
      <c r="D82" s="454"/>
      <c r="E82" s="8" t="s">
        <v>97</v>
      </c>
      <c r="F82" s="73"/>
      <c r="G82" s="74"/>
      <c r="H82" s="74"/>
      <c r="I82" s="68" t="s">
        <v>550</v>
      </c>
      <c r="J82" s="8" t="s">
        <v>560</v>
      </c>
      <c r="K82" s="3" t="s">
        <v>373</v>
      </c>
      <c r="L82" s="9" t="s">
        <v>260</v>
      </c>
      <c r="M82" s="80" t="s">
        <v>469</v>
      </c>
    </row>
    <row r="83" spans="1:13" ht="17" thickBot="1">
      <c r="A83" s="458"/>
      <c r="B83" s="451"/>
      <c r="C83" s="451"/>
      <c r="D83" s="455"/>
      <c r="E83" s="22" t="s">
        <v>252</v>
      </c>
      <c r="F83" s="75"/>
      <c r="G83" s="76"/>
      <c r="H83" s="76"/>
      <c r="I83" s="69" t="s">
        <v>551</v>
      </c>
      <c r="J83" s="22" t="s">
        <v>561</v>
      </c>
      <c r="K83" s="6" t="s">
        <v>442</v>
      </c>
      <c r="L83" s="23" t="s">
        <v>261</v>
      </c>
      <c r="M83" s="80" t="s">
        <v>469</v>
      </c>
    </row>
    <row r="84" spans="1:13" ht="16" customHeight="1">
      <c r="A84" s="457" t="s">
        <v>116</v>
      </c>
      <c r="B84" s="450">
        <v>59</v>
      </c>
      <c r="C84" s="450" t="s">
        <v>349</v>
      </c>
      <c r="D84" s="450" t="s">
        <v>486</v>
      </c>
      <c r="E84" s="8" t="s">
        <v>443</v>
      </c>
      <c r="F84" s="71" t="s">
        <v>711</v>
      </c>
      <c r="G84" s="25" t="s">
        <v>712</v>
      </c>
      <c r="H84" s="25" t="s">
        <v>675</v>
      </c>
      <c r="I84" s="67" t="s">
        <v>138</v>
      </c>
      <c r="J84" s="8" t="s">
        <v>165</v>
      </c>
      <c r="K84" s="3" t="s">
        <v>444</v>
      </c>
      <c r="L84" s="9" t="s">
        <v>192</v>
      </c>
      <c r="M84" s="80" t="s">
        <v>664</v>
      </c>
    </row>
    <row r="85" spans="1:13">
      <c r="A85" s="457"/>
      <c r="B85" s="450"/>
      <c r="C85" s="450"/>
      <c r="D85" s="450"/>
      <c r="E85" s="8" t="s">
        <v>2</v>
      </c>
      <c r="F85" s="71" t="s">
        <v>713</v>
      </c>
      <c r="G85" s="25" t="s">
        <v>714</v>
      </c>
      <c r="H85" s="25" t="s">
        <v>675</v>
      </c>
      <c r="I85" s="67" t="s">
        <v>139</v>
      </c>
      <c r="J85" s="8" t="s">
        <v>166</v>
      </c>
      <c r="K85" s="3" t="s">
        <v>378</v>
      </c>
      <c r="L85" s="9" t="s">
        <v>193</v>
      </c>
      <c r="M85" s="80" t="s">
        <v>664</v>
      </c>
    </row>
    <row r="86" spans="1:13">
      <c r="A86" s="457"/>
      <c r="B86" s="450"/>
      <c r="C86" s="450"/>
      <c r="D86" s="450"/>
      <c r="E86" s="8" t="s">
        <v>3</v>
      </c>
      <c r="F86" s="71" t="s">
        <v>715</v>
      </c>
      <c r="G86" s="25" t="s">
        <v>140</v>
      </c>
      <c r="H86" s="25" t="s">
        <v>675</v>
      </c>
      <c r="I86" s="67" t="s">
        <v>140</v>
      </c>
      <c r="J86" s="8" t="s">
        <v>167</v>
      </c>
      <c r="K86" s="3" t="s">
        <v>400</v>
      </c>
      <c r="L86" s="9" t="s">
        <v>194</v>
      </c>
      <c r="M86" s="80" t="s">
        <v>664</v>
      </c>
    </row>
    <row r="87" spans="1:13">
      <c r="A87" s="457"/>
      <c r="B87" s="450"/>
      <c r="C87" s="450"/>
      <c r="D87" s="450"/>
      <c r="E87" s="8" t="s">
        <v>117</v>
      </c>
      <c r="F87" s="71" t="s">
        <v>716</v>
      </c>
      <c r="G87" s="25" t="s">
        <v>717</v>
      </c>
      <c r="H87" s="25" t="s">
        <v>686</v>
      </c>
      <c r="I87" s="67" t="s">
        <v>141</v>
      </c>
      <c r="J87" s="8" t="s">
        <v>168</v>
      </c>
      <c r="K87" s="3" t="s">
        <v>401</v>
      </c>
      <c r="L87" s="9" t="s">
        <v>195</v>
      </c>
      <c r="M87" s="80" t="s">
        <v>664</v>
      </c>
    </row>
    <row r="88" spans="1:13">
      <c r="A88" s="457"/>
      <c r="B88" s="450"/>
      <c r="C88" s="450"/>
      <c r="D88" s="450"/>
      <c r="E88" s="8" t="s">
        <v>4</v>
      </c>
      <c r="F88" s="71" t="s">
        <v>718</v>
      </c>
      <c r="G88" s="25" t="s">
        <v>142</v>
      </c>
      <c r="H88" s="25" t="s">
        <v>675</v>
      </c>
      <c r="I88" s="67" t="s">
        <v>142</v>
      </c>
      <c r="J88" s="8" t="s">
        <v>169</v>
      </c>
      <c r="K88" s="3" t="s">
        <v>374</v>
      </c>
      <c r="L88" s="9" t="s">
        <v>196</v>
      </c>
      <c r="M88" s="80" t="s">
        <v>664</v>
      </c>
    </row>
    <row r="89" spans="1:13">
      <c r="A89" s="457"/>
      <c r="B89" s="450"/>
      <c r="C89" s="450"/>
      <c r="D89" s="450"/>
      <c r="E89" s="8" t="s">
        <v>118</v>
      </c>
      <c r="F89" s="71" t="s">
        <v>719</v>
      </c>
      <c r="G89" s="25" t="s">
        <v>720</v>
      </c>
      <c r="H89" s="25" t="s">
        <v>675</v>
      </c>
      <c r="I89" s="67" t="s">
        <v>143</v>
      </c>
      <c r="J89" s="8" t="s">
        <v>170</v>
      </c>
      <c r="K89" s="3" t="s">
        <v>445</v>
      </c>
      <c r="L89" s="9" t="s">
        <v>197</v>
      </c>
      <c r="M89" s="80" t="s">
        <v>664</v>
      </c>
    </row>
    <row r="90" spans="1:13">
      <c r="A90" s="457"/>
      <c r="B90" s="450"/>
      <c r="C90" s="450"/>
      <c r="D90" s="450"/>
      <c r="E90" s="8" t="s">
        <v>98</v>
      </c>
      <c r="F90" s="71" t="s">
        <v>721</v>
      </c>
      <c r="G90" s="25" t="s">
        <v>144</v>
      </c>
      <c r="H90" s="25" t="s">
        <v>675</v>
      </c>
      <c r="I90" s="67" t="s">
        <v>144</v>
      </c>
      <c r="J90" s="8" t="s">
        <v>171</v>
      </c>
      <c r="K90" s="3" t="s">
        <v>432</v>
      </c>
      <c r="L90" s="9" t="s">
        <v>198</v>
      </c>
      <c r="M90" s="80" t="s">
        <v>664</v>
      </c>
    </row>
    <row r="91" spans="1:13">
      <c r="A91" s="457"/>
      <c r="B91" s="450"/>
      <c r="C91" s="450"/>
      <c r="D91" s="450"/>
      <c r="E91" s="8" t="s">
        <v>119</v>
      </c>
      <c r="F91" s="71" t="s">
        <v>722</v>
      </c>
      <c r="G91" s="25" t="s">
        <v>145</v>
      </c>
      <c r="H91" s="25" t="s">
        <v>675</v>
      </c>
      <c r="I91" s="67" t="s">
        <v>145</v>
      </c>
      <c r="J91" s="8" t="s">
        <v>172</v>
      </c>
      <c r="K91" s="3" t="s">
        <v>446</v>
      </c>
      <c r="L91" s="9" t="s">
        <v>199</v>
      </c>
      <c r="M91" s="80" t="s">
        <v>664</v>
      </c>
    </row>
    <row r="92" spans="1:13">
      <c r="A92" s="457"/>
      <c r="B92" s="450"/>
      <c r="C92" s="450"/>
      <c r="D92" s="450"/>
      <c r="E92" s="8" t="s">
        <v>121</v>
      </c>
      <c r="F92" s="71" t="s">
        <v>723</v>
      </c>
      <c r="G92" s="25" t="s">
        <v>147</v>
      </c>
      <c r="H92" s="25" t="s">
        <v>675</v>
      </c>
      <c r="I92" s="67" t="s">
        <v>147</v>
      </c>
      <c r="J92" s="8" t="s">
        <v>174</v>
      </c>
      <c r="K92" s="3" t="s">
        <v>448</v>
      </c>
      <c r="L92" s="9" t="s">
        <v>201</v>
      </c>
      <c r="M92" s="80" t="s">
        <v>664</v>
      </c>
    </row>
    <row r="93" spans="1:13">
      <c r="A93" s="457"/>
      <c r="B93" s="450"/>
      <c r="C93" s="450"/>
      <c r="D93" s="450"/>
      <c r="E93" s="8" t="s">
        <v>124</v>
      </c>
      <c r="F93" s="71" t="s">
        <v>724</v>
      </c>
      <c r="G93" s="25" t="s">
        <v>150</v>
      </c>
      <c r="H93" s="25" t="s">
        <v>675</v>
      </c>
      <c r="I93" s="67" t="s">
        <v>150</v>
      </c>
      <c r="J93" s="8" t="s">
        <v>177</v>
      </c>
      <c r="K93" s="3" t="s">
        <v>451</v>
      </c>
      <c r="L93" s="9" t="s">
        <v>204</v>
      </c>
      <c r="M93" s="80" t="s">
        <v>664</v>
      </c>
    </row>
    <row r="94" spans="1:13">
      <c r="A94" s="457"/>
      <c r="B94" s="450"/>
      <c r="C94" s="450"/>
      <c r="D94" s="450"/>
      <c r="E94" s="8" t="s">
        <v>126</v>
      </c>
      <c r="F94" s="71" t="s">
        <v>725</v>
      </c>
      <c r="G94" s="25" t="s">
        <v>727</v>
      </c>
      <c r="H94" s="25" t="s">
        <v>675</v>
      </c>
      <c r="I94" s="67" t="s">
        <v>152</v>
      </c>
      <c r="J94" s="8" t="s">
        <v>179</v>
      </c>
      <c r="K94" s="3" t="s">
        <v>453</v>
      </c>
      <c r="L94" s="9" t="s">
        <v>206</v>
      </c>
      <c r="M94" s="80" t="s">
        <v>664</v>
      </c>
    </row>
    <row r="95" spans="1:13" ht="17" thickBot="1">
      <c r="A95" s="458"/>
      <c r="B95" s="451"/>
      <c r="C95" s="451"/>
      <c r="D95" s="451"/>
      <c r="E95" s="22" t="s">
        <v>5</v>
      </c>
      <c r="F95" s="72" t="s">
        <v>726</v>
      </c>
      <c r="G95" s="62" t="s">
        <v>156</v>
      </c>
      <c r="H95" s="62" t="s">
        <v>675</v>
      </c>
      <c r="I95" s="69" t="s">
        <v>156</v>
      </c>
      <c r="J95" s="22" t="s">
        <v>183</v>
      </c>
      <c r="K95" s="6" t="s">
        <v>386</v>
      </c>
      <c r="L95" s="23" t="s">
        <v>210</v>
      </c>
      <c r="M95" s="80" t="s">
        <v>664</v>
      </c>
    </row>
  </sheetData>
  <mergeCells count="63">
    <mergeCell ref="K58:K62"/>
    <mergeCell ref="E58:E62"/>
    <mergeCell ref="I58:I62"/>
    <mergeCell ref="A84:A95"/>
    <mergeCell ref="B84:B95"/>
    <mergeCell ref="C84:C95"/>
    <mergeCell ref="D84:D95"/>
    <mergeCell ref="A74:A83"/>
    <mergeCell ref="B74:B83"/>
    <mergeCell ref="C74:C83"/>
    <mergeCell ref="D74:D83"/>
    <mergeCell ref="D71:D73"/>
    <mergeCell ref="D63:D70"/>
    <mergeCell ref="A58:A62"/>
    <mergeCell ref="B58:B62"/>
    <mergeCell ref="D58:D62"/>
    <mergeCell ref="D21:D22"/>
    <mergeCell ref="A71:A73"/>
    <mergeCell ref="B71:B73"/>
    <mergeCell ref="A34:A43"/>
    <mergeCell ref="B34:B43"/>
    <mergeCell ref="C71:C73"/>
    <mergeCell ref="A63:A70"/>
    <mergeCell ref="B63:B70"/>
    <mergeCell ref="C63:C70"/>
    <mergeCell ref="A30:A33"/>
    <mergeCell ref="B30:B33"/>
    <mergeCell ref="C30:C33"/>
    <mergeCell ref="D30:D33"/>
    <mergeCell ref="A44:A57"/>
    <mergeCell ref="B44:B57"/>
    <mergeCell ref="D44:D57"/>
    <mergeCell ref="A2:A4"/>
    <mergeCell ref="B2:B4"/>
    <mergeCell ref="C2:C4"/>
    <mergeCell ref="D2:D4"/>
    <mergeCell ref="A15:A18"/>
    <mergeCell ref="B15:B18"/>
    <mergeCell ref="C15:C18"/>
    <mergeCell ref="D15:D18"/>
    <mergeCell ref="A10:A14"/>
    <mergeCell ref="B10:B14"/>
    <mergeCell ref="C10:C14"/>
    <mergeCell ref="D10:D14"/>
    <mergeCell ref="D5:D9"/>
    <mergeCell ref="A5:A9"/>
    <mergeCell ref="B5:B9"/>
    <mergeCell ref="M58:M62"/>
    <mergeCell ref="A19:A20"/>
    <mergeCell ref="B19:B20"/>
    <mergeCell ref="C19:C20"/>
    <mergeCell ref="D19:D20"/>
    <mergeCell ref="J58:J62"/>
    <mergeCell ref="L58:L62"/>
    <mergeCell ref="C34:C43"/>
    <mergeCell ref="D34:D43"/>
    <mergeCell ref="A23:A29"/>
    <mergeCell ref="B23:B29"/>
    <mergeCell ref="C23:C29"/>
    <mergeCell ref="D23:D29"/>
    <mergeCell ref="A21:A22"/>
    <mergeCell ref="B21:B22"/>
    <mergeCell ref="C21:C22"/>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F68C2-491D-0640-B8C5-E2D56EE21A4B}">
  <dimension ref="A1:K108"/>
  <sheetViews>
    <sheetView zoomScale="120" zoomScaleNormal="120" workbookViewId="0">
      <selection activeCell="H102" sqref="H102"/>
    </sheetView>
  </sheetViews>
  <sheetFormatPr baseColWidth="10" defaultRowHeight="16"/>
  <cols>
    <col min="1" max="1" width="15" style="14" customWidth="1"/>
    <col min="2" max="2" width="37.83203125" customWidth="1"/>
    <col min="3" max="3" width="16.33203125" bestFit="1" customWidth="1"/>
    <col min="4" max="4" width="14.5" bestFit="1" customWidth="1"/>
    <col min="5" max="5" width="13.83203125" customWidth="1"/>
    <col min="6" max="6" width="11.83203125" customWidth="1"/>
    <col min="7" max="7" width="10.83203125" style="25"/>
    <col min="8" max="8" width="15.5" style="14" customWidth="1"/>
    <col min="9" max="9" width="30.33203125" customWidth="1"/>
  </cols>
  <sheetData>
    <row r="1" spans="1:9" ht="35" thickBot="1">
      <c r="A1" s="34" t="s">
        <v>26</v>
      </c>
      <c r="B1" s="87" t="s">
        <v>478</v>
      </c>
      <c r="C1" s="42" t="s">
        <v>878</v>
      </c>
      <c r="D1" s="43" t="s">
        <v>665</v>
      </c>
      <c r="E1" s="94" t="s">
        <v>879</v>
      </c>
      <c r="F1" s="43" t="s">
        <v>27</v>
      </c>
      <c r="G1" s="43" t="s">
        <v>28</v>
      </c>
      <c r="H1" s="95" t="s">
        <v>730</v>
      </c>
      <c r="I1" s="88" t="s">
        <v>731</v>
      </c>
    </row>
    <row r="2" spans="1:9">
      <c r="A2" s="67" t="s">
        <v>263</v>
      </c>
      <c r="B2" s="79" t="s">
        <v>729</v>
      </c>
      <c r="C2" s="70">
        <v>60</v>
      </c>
      <c r="D2" s="61">
        <v>110</v>
      </c>
      <c r="E2" s="25" t="s">
        <v>658</v>
      </c>
      <c r="F2" s="66">
        <v>113</v>
      </c>
      <c r="G2" s="20">
        <v>76</v>
      </c>
      <c r="H2" s="3" t="s">
        <v>659</v>
      </c>
      <c r="I2" s="91" t="s">
        <v>262</v>
      </c>
    </row>
    <row r="3" spans="1:9">
      <c r="A3" s="67" t="s">
        <v>4</v>
      </c>
      <c r="B3" s="79" t="s">
        <v>729</v>
      </c>
      <c r="C3" s="71" t="s">
        <v>732</v>
      </c>
      <c r="D3" s="25" t="s">
        <v>744</v>
      </c>
      <c r="E3" s="25" t="s">
        <v>658</v>
      </c>
      <c r="F3" s="67" t="s">
        <v>877</v>
      </c>
      <c r="G3" s="8" t="s">
        <v>876</v>
      </c>
      <c r="H3" s="3" t="s">
        <v>659</v>
      </c>
      <c r="I3" s="89" t="s">
        <v>262</v>
      </c>
    </row>
    <row r="4" spans="1:9" ht="17" thickBot="1">
      <c r="A4" s="67" t="s">
        <v>5</v>
      </c>
      <c r="B4" s="79" t="s">
        <v>729</v>
      </c>
      <c r="C4" s="72" t="s">
        <v>733</v>
      </c>
      <c r="D4" s="62" t="s">
        <v>745</v>
      </c>
      <c r="E4" s="25" t="s">
        <v>658</v>
      </c>
      <c r="F4" s="69" t="s">
        <v>874</v>
      </c>
      <c r="G4" s="22" t="s">
        <v>875</v>
      </c>
      <c r="H4" s="3" t="s">
        <v>659</v>
      </c>
      <c r="I4" s="90" t="s">
        <v>262</v>
      </c>
    </row>
    <row r="5" spans="1:9">
      <c r="A5" s="66" t="s">
        <v>1</v>
      </c>
      <c r="B5" s="82" t="s">
        <v>660</v>
      </c>
      <c r="C5" s="70" t="s">
        <v>734</v>
      </c>
      <c r="D5" s="61" t="s">
        <v>746</v>
      </c>
      <c r="E5" s="4" t="s">
        <v>659</v>
      </c>
      <c r="F5" s="66" t="s">
        <v>873</v>
      </c>
      <c r="G5" s="20" t="s">
        <v>872</v>
      </c>
      <c r="H5" s="4" t="s">
        <v>659</v>
      </c>
      <c r="I5" s="89" t="s">
        <v>0</v>
      </c>
    </row>
    <row r="6" spans="1:9">
      <c r="A6" s="67" t="s">
        <v>2</v>
      </c>
      <c r="B6" s="80" t="s">
        <v>660</v>
      </c>
      <c r="C6" s="71" t="s">
        <v>735</v>
      </c>
      <c r="D6" s="25" t="s">
        <v>747</v>
      </c>
      <c r="E6" s="3" t="s">
        <v>659</v>
      </c>
      <c r="F6" s="67" t="s">
        <v>870</v>
      </c>
      <c r="G6" s="8" t="s">
        <v>871</v>
      </c>
      <c r="H6" s="3" t="s">
        <v>659</v>
      </c>
      <c r="I6" s="89" t="s">
        <v>0</v>
      </c>
    </row>
    <row r="7" spans="1:9">
      <c r="A7" s="67" t="s">
        <v>3</v>
      </c>
      <c r="B7" s="80" t="s">
        <v>660</v>
      </c>
      <c r="C7" s="71" t="s">
        <v>736</v>
      </c>
      <c r="D7" s="25" t="s">
        <v>748</v>
      </c>
      <c r="E7" s="3" t="s">
        <v>659</v>
      </c>
      <c r="F7" s="67" t="s">
        <v>869</v>
      </c>
      <c r="G7" s="8" t="s">
        <v>354</v>
      </c>
      <c r="H7" s="25" t="s">
        <v>658</v>
      </c>
      <c r="I7" s="89" t="s">
        <v>0</v>
      </c>
    </row>
    <row r="8" spans="1:9">
      <c r="A8" s="67" t="s">
        <v>4</v>
      </c>
      <c r="B8" s="80" t="s">
        <v>660</v>
      </c>
      <c r="C8" s="71" t="s">
        <v>737</v>
      </c>
      <c r="D8" s="25" t="s">
        <v>749</v>
      </c>
      <c r="E8" s="25" t="s">
        <v>658</v>
      </c>
      <c r="F8" s="67" t="s">
        <v>867</v>
      </c>
      <c r="G8" s="8" t="s">
        <v>868</v>
      </c>
      <c r="H8" s="3" t="s">
        <v>659</v>
      </c>
      <c r="I8" s="89" t="s">
        <v>0</v>
      </c>
    </row>
    <row r="9" spans="1:9" ht="17" thickBot="1">
      <c r="A9" s="67" t="s">
        <v>5</v>
      </c>
      <c r="B9" s="80" t="s">
        <v>660</v>
      </c>
      <c r="C9" s="72" t="s">
        <v>738</v>
      </c>
      <c r="D9" s="62" t="s">
        <v>750</v>
      </c>
      <c r="E9" s="25" t="s">
        <v>658</v>
      </c>
      <c r="F9" s="69" t="s">
        <v>865</v>
      </c>
      <c r="G9" s="22" t="s">
        <v>866</v>
      </c>
      <c r="H9" s="3" t="s">
        <v>659</v>
      </c>
      <c r="I9" s="90" t="s">
        <v>0</v>
      </c>
    </row>
    <row r="10" spans="1:9">
      <c r="A10" s="66" t="s">
        <v>2</v>
      </c>
      <c r="B10" s="82" t="s">
        <v>469</v>
      </c>
      <c r="C10" s="70" t="s">
        <v>739</v>
      </c>
      <c r="D10" s="61" t="s">
        <v>350</v>
      </c>
      <c r="E10" s="61" t="s">
        <v>658</v>
      </c>
      <c r="F10" s="66" t="s">
        <v>863</v>
      </c>
      <c r="G10" s="20" t="s">
        <v>862</v>
      </c>
      <c r="H10" s="4" t="s">
        <v>659</v>
      </c>
      <c r="I10" s="89" t="s">
        <v>319</v>
      </c>
    </row>
    <row r="11" spans="1:9">
      <c r="A11" s="67" t="s">
        <v>3</v>
      </c>
      <c r="B11" s="80" t="s">
        <v>469</v>
      </c>
      <c r="C11" s="71" t="s">
        <v>740</v>
      </c>
      <c r="D11" s="25" t="s">
        <v>357</v>
      </c>
      <c r="E11" s="3" t="s">
        <v>659</v>
      </c>
      <c r="F11" s="67" t="s">
        <v>357</v>
      </c>
      <c r="G11" s="8" t="s">
        <v>358</v>
      </c>
      <c r="H11" s="25" t="s">
        <v>658</v>
      </c>
      <c r="I11" s="89" t="s">
        <v>319</v>
      </c>
    </row>
    <row r="12" spans="1:9">
      <c r="A12" s="67" t="s">
        <v>287</v>
      </c>
      <c r="B12" s="80" t="s">
        <v>469</v>
      </c>
      <c r="C12" s="71" t="s">
        <v>741</v>
      </c>
      <c r="D12" s="25" t="s">
        <v>588</v>
      </c>
      <c r="E12" s="25" t="s">
        <v>658</v>
      </c>
      <c r="F12" s="67" t="s">
        <v>864</v>
      </c>
      <c r="G12" s="8" t="s">
        <v>861</v>
      </c>
      <c r="H12" s="3" t="s">
        <v>659</v>
      </c>
      <c r="I12" s="89" t="s">
        <v>319</v>
      </c>
    </row>
    <row r="13" spans="1:9">
      <c r="A13" s="67" t="s">
        <v>5</v>
      </c>
      <c r="B13" s="80" t="s">
        <v>469</v>
      </c>
      <c r="C13" s="71" t="s">
        <v>742</v>
      </c>
      <c r="D13" s="25" t="s">
        <v>366</v>
      </c>
      <c r="E13" s="25" t="s">
        <v>658</v>
      </c>
      <c r="F13" s="67" t="s">
        <v>859</v>
      </c>
      <c r="G13" s="8" t="s">
        <v>860</v>
      </c>
      <c r="H13" s="3" t="s">
        <v>659</v>
      </c>
      <c r="I13" s="89" t="s">
        <v>319</v>
      </c>
    </row>
    <row r="14" spans="1:9" ht="17" thickBot="1">
      <c r="A14" s="67" t="s">
        <v>273</v>
      </c>
      <c r="B14" s="80" t="s">
        <v>469</v>
      </c>
      <c r="C14" s="71" t="s">
        <v>743</v>
      </c>
      <c r="D14" s="25" t="s">
        <v>615</v>
      </c>
      <c r="E14" s="25" t="s">
        <v>658</v>
      </c>
      <c r="F14" s="69" t="s">
        <v>615</v>
      </c>
      <c r="G14" s="22" t="s">
        <v>858</v>
      </c>
      <c r="H14" s="3" t="s">
        <v>659</v>
      </c>
      <c r="I14" s="90" t="s">
        <v>319</v>
      </c>
    </row>
    <row r="15" spans="1:9">
      <c r="A15" s="66" t="s">
        <v>5</v>
      </c>
      <c r="B15" s="82" t="s">
        <v>663</v>
      </c>
      <c r="C15" s="70" t="s">
        <v>752</v>
      </c>
      <c r="D15" s="20" t="s">
        <v>751</v>
      </c>
      <c r="E15" s="63" t="s">
        <v>658</v>
      </c>
      <c r="F15" s="20" t="s">
        <v>854</v>
      </c>
      <c r="G15" s="20" t="s">
        <v>855</v>
      </c>
      <c r="H15" s="61" t="s">
        <v>658</v>
      </c>
      <c r="I15" s="89" t="s">
        <v>313</v>
      </c>
    </row>
    <row r="16" spans="1:9">
      <c r="A16" s="67" t="s">
        <v>251</v>
      </c>
      <c r="B16" s="80" t="s">
        <v>663</v>
      </c>
      <c r="C16" s="71" t="s">
        <v>367</v>
      </c>
      <c r="D16" s="8" t="s">
        <v>347</v>
      </c>
      <c r="E16" s="64" t="s">
        <v>658</v>
      </c>
      <c r="F16" s="8" t="s">
        <v>853</v>
      </c>
      <c r="G16" s="8" t="s">
        <v>856</v>
      </c>
      <c r="H16" s="3" t="s">
        <v>659</v>
      </c>
      <c r="I16" s="89" t="s">
        <v>313</v>
      </c>
    </row>
    <row r="17" spans="1:9">
      <c r="A17" s="67" t="s">
        <v>273</v>
      </c>
      <c r="B17" s="80" t="s">
        <v>663</v>
      </c>
      <c r="C17" s="71">
        <v>132</v>
      </c>
      <c r="D17" s="8">
        <v>199</v>
      </c>
      <c r="E17" s="1" t="s">
        <v>659</v>
      </c>
      <c r="F17" s="8">
        <v>199</v>
      </c>
      <c r="G17" s="8">
        <v>205</v>
      </c>
      <c r="H17" s="25" t="s">
        <v>658</v>
      </c>
      <c r="I17" s="89" t="s">
        <v>313</v>
      </c>
    </row>
    <row r="18" spans="1:9" ht="17" thickBot="1">
      <c r="A18" s="67" t="s">
        <v>289</v>
      </c>
      <c r="B18" s="80" t="s">
        <v>663</v>
      </c>
      <c r="C18" s="72" t="s">
        <v>753</v>
      </c>
      <c r="D18" s="22" t="s">
        <v>566</v>
      </c>
      <c r="E18" s="13" t="s">
        <v>659</v>
      </c>
      <c r="F18" s="22" t="s">
        <v>852</v>
      </c>
      <c r="G18" s="22" t="s">
        <v>857</v>
      </c>
      <c r="H18" s="25" t="s">
        <v>658</v>
      </c>
      <c r="I18" s="90" t="s">
        <v>313</v>
      </c>
    </row>
    <row r="19" spans="1:9">
      <c r="A19" s="67" t="s">
        <v>251</v>
      </c>
      <c r="B19" s="82" t="s">
        <v>664</v>
      </c>
      <c r="C19" s="71" t="s">
        <v>758</v>
      </c>
      <c r="D19" s="25" t="s">
        <v>770</v>
      </c>
      <c r="E19" s="25" t="s">
        <v>658</v>
      </c>
      <c r="F19" s="67" t="s">
        <v>345</v>
      </c>
      <c r="G19" s="8" t="s">
        <v>346</v>
      </c>
      <c r="H19" s="4" t="s">
        <v>659</v>
      </c>
      <c r="I19" s="89" t="s">
        <v>116</v>
      </c>
    </row>
    <row r="20" spans="1:9">
      <c r="A20" s="67" t="s">
        <v>2</v>
      </c>
      <c r="B20" s="80" t="s">
        <v>664</v>
      </c>
      <c r="C20" s="71" t="s">
        <v>759</v>
      </c>
      <c r="D20" s="25" t="s">
        <v>230</v>
      </c>
      <c r="E20" s="25" t="s">
        <v>658</v>
      </c>
      <c r="F20" s="67" t="s">
        <v>780</v>
      </c>
      <c r="G20" s="8" t="s">
        <v>231</v>
      </c>
      <c r="H20" s="3" t="s">
        <v>659</v>
      </c>
      <c r="I20" s="89" t="s">
        <v>116</v>
      </c>
    </row>
    <row r="21" spans="1:9">
      <c r="A21" s="67" t="s">
        <v>3</v>
      </c>
      <c r="B21" s="80" t="s">
        <v>664</v>
      </c>
      <c r="C21" s="71" t="s">
        <v>760</v>
      </c>
      <c r="D21" s="25" t="s">
        <v>771</v>
      </c>
      <c r="E21" s="25" t="s">
        <v>658</v>
      </c>
      <c r="F21" s="67" t="s">
        <v>356</v>
      </c>
      <c r="G21" s="8" t="s">
        <v>355</v>
      </c>
      <c r="H21" s="3" t="s">
        <v>659</v>
      </c>
      <c r="I21" s="89" t="s">
        <v>116</v>
      </c>
    </row>
    <row r="22" spans="1:9">
      <c r="A22" s="67" t="s">
        <v>117</v>
      </c>
      <c r="B22" s="80" t="s">
        <v>664</v>
      </c>
      <c r="C22" s="71" t="s">
        <v>761</v>
      </c>
      <c r="D22" s="25" t="s">
        <v>772</v>
      </c>
      <c r="E22" s="3" t="s">
        <v>659</v>
      </c>
      <c r="F22" s="67" t="s">
        <v>772</v>
      </c>
      <c r="G22" s="8" t="s">
        <v>579</v>
      </c>
      <c r="H22" s="3" t="s">
        <v>659</v>
      </c>
      <c r="I22" s="89" t="s">
        <v>116</v>
      </c>
    </row>
    <row r="23" spans="1:9">
      <c r="A23" s="67" t="s">
        <v>4</v>
      </c>
      <c r="B23" s="80" t="s">
        <v>664</v>
      </c>
      <c r="C23" s="71" t="s">
        <v>762</v>
      </c>
      <c r="D23" s="25" t="s">
        <v>221</v>
      </c>
      <c r="E23" s="25" t="s">
        <v>658</v>
      </c>
      <c r="F23" s="67" t="s">
        <v>221</v>
      </c>
      <c r="G23" s="8" t="s">
        <v>217</v>
      </c>
      <c r="H23" s="3" t="s">
        <v>659</v>
      </c>
      <c r="I23" s="89" t="s">
        <v>116</v>
      </c>
    </row>
    <row r="24" spans="1:9">
      <c r="A24" s="67" t="s">
        <v>263</v>
      </c>
      <c r="B24" s="80" t="s">
        <v>664</v>
      </c>
      <c r="C24" s="71" t="s">
        <v>763</v>
      </c>
      <c r="D24" s="25" t="s">
        <v>773</v>
      </c>
      <c r="E24" s="25" t="s">
        <v>658</v>
      </c>
      <c r="F24" s="67" t="s">
        <v>773</v>
      </c>
      <c r="G24" s="8" t="s">
        <v>582</v>
      </c>
      <c r="H24" s="25" t="s">
        <v>658</v>
      </c>
      <c r="I24" s="89" t="s">
        <v>116</v>
      </c>
    </row>
    <row r="25" spans="1:9">
      <c r="A25" s="67" t="s">
        <v>98</v>
      </c>
      <c r="B25" s="80" t="s">
        <v>664</v>
      </c>
      <c r="C25" s="71" t="s">
        <v>764</v>
      </c>
      <c r="D25" s="25" t="s">
        <v>774</v>
      </c>
      <c r="E25" s="25" t="s">
        <v>658</v>
      </c>
      <c r="F25" s="67" t="s">
        <v>774</v>
      </c>
      <c r="G25" s="8" t="s">
        <v>779</v>
      </c>
      <c r="H25" s="25" t="s">
        <v>658</v>
      </c>
      <c r="I25" s="89" t="s">
        <v>116</v>
      </c>
    </row>
    <row r="26" spans="1:9">
      <c r="A26" s="67" t="s">
        <v>287</v>
      </c>
      <c r="B26" s="80" t="s">
        <v>664</v>
      </c>
      <c r="C26" s="71" t="s">
        <v>765</v>
      </c>
      <c r="D26" s="25" t="s">
        <v>589</v>
      </c>
      <c r="E26" s="25" t="s">
        <v>658</v>
      </c>
      <c r="F26" s="67" t="s">
        <v>777</v>
      </c>
      <c r="G26" s="8" t="s">
        <v>778</v>
      </c>
      <c r="H26" s="3" t="s">
        <v>659</v>
      </c>
      <c r="I26" s="89" t="s">
        <v>116</v>
      </c>
    </row>
    <row r="27" spans="1:9">
      <c r="A27" s="67" t="s">
        <v>121</v>
      </c>
      <c r="B27" s="80" t="s">
        <v>664</v>
      </c>
      <c r="C27" s="71" t="s">
        <v>766</v>
      </c>
      <c r="D27" s="25" t="s">
        <v>628</v>
      </c>
      <c r="E27" s="25" t="s">
        <v>658</v>
      </c>
      <c r="F27" s="67" t="s">
        <v>628</v>
      </c>
      <c r="G27" s="8" t="s">
        <v>629</v>
      </c>
      <c r="H27" s="25" t="s">
        <v>658</v>
      </c>
      <c r="I27" s="89" t="s">
        <v>116</v>
      </c>
    </row>
    <row r="28" spans="1:9">
      <c r="A28" s="67" t="s">
        <v>880</v>
      </c>
      <c r="B28" s="80" t="s">
        <v>664</v>
      </c>
      <c r="C28" s="71" t="s">
        <v>767</v>
      </c>
      <c r="D28" s="25" t="s">
        <v>624</v>
      </c>
      <c r="E28" s="25" t="s">
        <v>658</v>
      </c>
      <c r="F28" s="67" t="s">
        <v>776</v>
      </c>
      <c r="G28" s="8" t="s">
        <v>626</v>
      </c>
      <c r="H28" s="3" t="s">
        <v>659</v>
      </c>
      <c r="I28" s="89" t="s">
        <v>116</v>
      </c>
    </row>
    <row r="29" spans="1:9">
      <c r="A29" s="67" t="s">
        <v>881</v>
      </c>
      <c r="B29" s="80" t="s">
        <v>664</v>
      </c>
      <c r="C29" s="71" t="s">
        <v>768</v>
      </c>
      <c r="D29" s="25" t="s">
        <v>595</v>
      </c>
      <c r="E29" s="25" t="s">
        <v>658</v>
      </c>
      <c r="F29" s="67" t="s">
        <v>775</v>
      </c>
      <c r="G29" s="8" t="s">
        <v>597</v>
      </c>
      <c r="H29" s="3" t="s">
        <v>659</v>
      </c>
      <c r="I29" s="89" t="s">
        <v>116</v>
      </c>
    </row>
    <row r="30" spans="1:9" ht="17" thickBot="1">
      <c r="A30" s="69" t="s">
        <v>5</v>
      </c>
      <c r="B30" s="83" t="s">
        <v>664</v>
      </c>
      <c r="C30" s="72" t="s">
        <v>769</v>
      </c>
      <c r="D30" s="62" t="s">
        <v>365</v>
      </c>
      <c r="E30" s="62" t="s">
        <v>658</v>
      </c>
      <c r="F30" s="69" t="s">
        <v>365</v>
      </c>
      <c r="G30" s="22" t="s">
        <v>364</v>
      </c>
      <c r="H30" s="62" t="s">
        <v>658</v>
      </c>
      <c r="I30" s="90" t="s">
        <v>116</v>
      </c>
    </row>
    <row r="31" spans="1:9">
      <c r="A31" s="67" t="s">
        <v>251</v>
      </c>
      <c r="B31" s="82" t="s">
        <v>663</v>
      </c>
      <c r="C31" s="102">
        <v>18834</v>
      </c>
      <c r="D31" s="19">
        <v>15345</v>
      </c>
      <c r="E31" s="5" t="s">
        <v>659</v>
      </c>
      <c r="F31" s="19">
        <v>15345</v>
      </c>
      <c r="G31" s="19">
        <v>16326</v>
      </c>
      <c r="H31" s="61" t="s">
        <v>658</v>
      </c>
      <c r="I31" s="89" t="s">
        <v>299</v>
      </c>
    </row>
    <row r="32" spans="1:9">
      <c r="A32" s="67" t="s">
        <v>2</v>
      </c>
      <c r="B32" s="80" t="s">
        <v>663</v>
      </c>
      <c r="C32" s="103">
        <v>5953</v>
      </c>
      <c r="D32" s="18">
        <v>5905</v>
      </c>
      <c r="E32" s="1" t="s">
        <v>659</v>
      </c>
      <c r="F32" s="18">
        <v>5905</v>
      </c>
      <c r="G32" s="18">
        <v>5451</v>
      </c>
      <c r="H32" s="3" t="s">
        <v>659</v>
      </c>
      <c r="I32" s="89" t="s">
        <v>299</v>
      </c>
    </row>
    <row r="33" spans="1:9">
      <c r="A33" s="67" t="s">
        <v>3</v>
      </c>
      <c r="B33" s="80" t="s">
        <v>663</v>
      </c>
      <c r="C33" s="103">
        <v>19829</v>
      </c>
      <c r="D33" s="18">
        <v>19657</v>
      </c>
      <c r="E33" s="1" t="s">
        <v>659</v>
      </c>
      <c r="F33" s="18">
        <v>19657</v>
      </c>
      <c r="G33" s="18">
        <v>19850</v>
      </c>
      <c r="H33" s="25" t="s">
        <v>658</v>
      </c>
      <c r="I33" s="89" t="s">
        <v>299</v>
      </c>
    </row>
    <row r="34" spans="1:9">
      <c r="A34" s="67" t="s">
        <v>98</v>
      </c>
      <c r="B34" s="80" t="s">
        <v>663</v>
      </c>
      <c r="C34" s="103">
        <v>9579</v>
      </c>
      <c r="D34" s="18">
        <v>9127</v>
      </c>
      <c r="E34" s="1" t="s">
        <v>659</v>
      </c>
      <c r="F34" s="18">
        <v>9127</v>
      </c>
      <c r="G34" s="18">
        <v>8203</v>
      </c>
      <c r="H34" s="3" t="s">
        <v>659</v>
      </c>
      <c r="I34" s="89" t="s">
        <v>299</v>
      </c>
    </row>
    <row r="35" spans="1:9">
      <c r="A35" s="67" t="s">
        <v>287</v>
      </c>
      <c r="B35" s="80" t="s">
        <v>663</v>
      </c>
      <c r="C35" s="103">
        <v>4237</v>
      </c>
      <c r="D35" s="18">
        <v>4473</v>
      </c>
      <c r="E35" s="64" t="s">
        <v>658</v>
      </c>
      <c r="F35" s="18">
        <v>4473</v>
      </c>
      <c r="G35" s="18">
        <v>4983</v>
      </c>
      <c r="H35" s="25" t="s">
        <v>658</v>
      </c>
      <c r="I35" s="89" t="s">
        <v>299</v>
      </c>
    </row>
    <row r="36" spans="1:9">
      <c r="A36" s="67" t="s">
        <v>1</v>
      </c>
      <c r="B36" s="80" t="s">
        <v>663</v>
      </c>
      <c r="C36" s="103">
        <v>4868</v>
      </c>
      <c r="D36" s="18">
        <v>2331</v>
      </c>
      <c r="E36" s="1" t="s">
        <v>659</v>
      </c>
      <c r="F36" s="18">
        <v>2331</v>
      </c>
      <c r="G36" s="18">
        <v>2634</v>
      </c>
      <c r="H36" s="25" t="s">
        <v>658</v>
      </c>
      <c r="I36" s="89" t="s">
        <v>299</v>
      </c>
    </row>
    <row r="37" spans="1:9" ht="17" thickBot="1">
      <c r="A37" s="67" t="s">
        <v>5</v>
      </c>
      <c r="B37" s="80" t="s">
        <v>663</v>
      </c>
      <c r="C37" s="104">
        <v>267379</v>
      </c>
      <c r="D37" s="105">
        <v>202566</v>
      </c>
      <c r="E37" s="13" t="s">
        <v>659</v>
      </c>
      <c r="F37" s="18">
        <v>202566</v>
      </c>
      <c r="G37" s="18">
        <v>168221</v>
      </c>
      <c r="H37" s="3" t="s">
        <v>659</v>
      </c>
      <c r="I37" s="90" t="s">
        <v>299</v>
      </c>
    </row>
    <row r="38" spans="1:9">
      <c r="A38" s="67" t="s">
        <v>881</v>
      </c>
      <c r="B38" s="82" t="s">
        <v>482</v>
      </c>
      <c r="C38" s="71">
        <v>135</v>
      </c>
      <c r="D38" s="25">
        <v>135</v>
      </c>
      <c r="E38" s="4" t="s">
        <v>659</v>
      </c>
      <c r="F38" s="108">
        <v>202566</v>
      </c>
      <c r="G38" s="20">
        <v>147</v>
      </c>
      <c r="H38" s="63" t="s">
        <v>658</v>
      </c>
      <c r="I38" s="106" t="s">
        <v>270</v>
      </c>
    </row>
    <row r="39" spans="1:9">
      <c r="A39" s="67" t="s">
        <v>263</v>
      </c>
      <c r="B39" s="80" t="s">
        <v>482</v>
      </c>
      <c r="C39" s="71" t="s">
        <v>757</v>
      </c>
      <c r="D39" s="25" t="s">
        <v>754</v>
      </c>
      <c r="E39" s="3" t="s">
        <v>659</v>
      </c>
      <c r="F39" s="67" t="s">
        <v>845</v>
      </c>
      <c r="G39" s="8" t="s">
        <v>846</v>
      </c>
      <c r="H39" s="1" t="s">
        <v>659</v>
      </c>
      <c r="I39" s="106" t="s">
        <v>270</v>
      </c>
    </row>
    <row r="40" spans="1:9">
      <c r="A40" s="67" t="s">
        <v>273</v>
      </c>
      <c r="B40" s="80" t="s">
        <v>482</v>
      </c>
      <c r="C40" s="71" t="s">
        <v>756</v>
      </c>
      <c r="D40" s="25">
        <v>342</v>
      </c>
      <c r="E40" s="3" t="s">
        <v>659</v>
      </c>
      <c r="F40" s="67">
        <v>368</v>
      </c>
      <c r="G40" s="8">
        <v>375</v>
      </c>
      <c r="H40" s="64" t="s">
        <v>658</v>
      </c>
      <c r="I40" s="106" t="s">
        <v>270</v>
      </c>
    </row>
    <row r="41" spans="1:9" ht="17" thickBot="1">
      <c r="A41" s="86" t="s">
        <v>5</v>
      </c>
      <c r="B41" s="80" t="s">
        <v>482</v>
      </c>
      <c r="C41" s="72" t="s">
        <v>353</v>
      </c>
      <c r="D41" s="62" t="s">
        <v>755</v>
      </c>
      <c r="E41" s="3" t="s">
        <v>659</v>
      </c>
      <c r="F41" s="69" t="s">
        <v>844</v>
      </c>
      <c r="G41" s="22" t="s">
        <v>847</v>
      </c>
      <c r="H41" s="13" t="s">
        <v>659</v>
      </c>
      <c r="I41" s="107" t="s">
        <v>270</v>
      </c>
    </row>
    <row r="42" spans="1:9" ht="16" customHeight="1">
      <c r="A42" s="67" t="s">
        <v>251</v>
      </c>
      <c r="B42" s="82" t="s">
        <v>661</v>
      </c>
      <c r="C42" s="73"/>
      <c r="D42" s="74"/>
      <c r="E42" s="78"/>
      <c r="F42" s="66" t="s">
        <v>850</v>
      </c>
      <c r="G42" s="20" t="s">
        <v>851</v>
      </c>
      <c r="H42" s="4" t="s">
        <v>659</v>
      </c>
      <c r="I42" s="89" t="s">
        <v>30</v>
      </c>
    </row>
    <row r="43" spans="1:9" ht="17" thickBot="1">
      <c r="A43" s="67" t="s">
        <v>4</v>
      </c>
      <c r="B43" s="80" t="s">
        <v>661</v>
      </c>
      <c r="C43" s="75"/>
      <c r="D43" s="76"/>
      <c r="E43" s="74"/>
      <c r="F43" s="69" t="s">
        <v>218</v>
      </c>
      <c r="G43" s="22" t="s">
        <v>216</v>
      </c>
      <c r="H43" s="3" t="s">
        <v>659</v>
      </c>
      <c r="I43" s="90" t="s">
        <v>30</v>
      </c>
    </row>
    <row r="44" spans="1:9" ht="34">
      <c r="A44" s="67" t="s">
        <v>289</v>
      </c>
      <c r="B44" s="84" t="s">
        <v>662</v>
      </c>
      <c r="C44" s="77"/>
      <c r="D44" s="78"/>
      <c r="E44" s="78"/>
      <c r="F44" s="66" t="s">
        <v>848</v>
      </c>
      <c r="G44" s="20" t="s">
        <v>849</v>
      </c>
      <c r="H44" s="61" t="s">
        <v>658</v>
      </c>
      <c r="I44" s="91" t="s">
        <v>302</v>
      </c>
    </row>
    <row r="45" spans="1:9" ht="35" thickBot="1">
      <c r="A45" s="69" t="s">
        <v>5</v>
      </c>
      <c r="B45" s="85" t="s">
        <v>662</v>
      </c>
      <c r="C45" s="75"/>
      <c r="D45" s="76"/>
      <c r="E45" s="76"/>
      <c r="F45" s="69" t="s">
        <v>368</v>
      </c>
      <c r="G45" s="22" t="s">
        <v>369</v>
      </c>
      <c r="H45" s="62" t="s">
        <v>658</v>
      </c>
      <c r="I45" s="90" t="s">
        <v>302</v>
      </c>
    </row>
    <row r="46" spans="1:9" ht="17">
      <c r="A46" s="86" t="s">
        <v>2</v>
      </c>
      <c r="B46" s="81" t="s">
        <v>728</v>
      </c>
      <c r="C46" s="73"/>
      <c r="D46" s="74"/>
      <c r="E46" s="74"/>
      <c r="F46" s="67" t="s">
        <v>351</v>
      </c>
      <c r="G46" s="8" t="s">
        <v>843</v>
      </c>
      <c r="H46" s="3" t="s">
        <v>659</v>
      </c>
      <c r="I46" s="92" t="s">
        <v>286</v>
      </c>
    </row>
    <row r="47" spans="1:9" ht="17">
      <c r="A47" s="67" t="s">
        <v>3</v>
      </c>
      <c r="B47" s="81" t="s">
        <v>728</v>
      </c>
      <c r="C47" s="73"/>
      <c r="D47" s="74"/>
      <c r="E47" s="74"/>
      <c r="F47" s="67" t="s">
        <v>842</v>
      </c>
      <c r="G47" s="8" t="s">
        <v>841</v>
      </c>
      <c r="H47" s="3" t="s">
        <v>659</v>
      </c>
      <c r="I47" s="92" t="s">
        <v>286</v>
      </c>
    </row>
    <row r="48" spans="1:9" ht="17">
      <c r="A48" s="86" t="s">
        <v>117</v>
      </c>
      <c r="B48" s="81" t="s">
        <v>728</v>
      </c>
      <c r="C48" s="73"/>
      <c r="D48" s="74"/>
      <c r="E48" s="74"/>
      <c r="F48" s="67" t="s">
        <v>839</v>
      </c>
      <c r="G48" s="8" t="s">
        <v>840</v>
      </c>
      <c r="H48" s="3" t="s">
        <v>659</v>
      </c>
      <c r="I48" s="92" t="s">
        <v>286</v>
      </c>
    </row>
    <row r="49" spans="1:9" ht="17">
      <c r="A49" s="67" t="s">
        <v>98</v>
      </c>
      <c r="B49" s="81" t="s">
        <v>728</v>
      </c>
      <c r="C49" s="73"/>
      <c r="D49" s="74"/>
      <c r="E49" s="74"/>
      <c r="F49" s="67" t="s">
        <v>838</v>
      </c>
      <c r="G49" s="8" t="s">
        <v>837</v>
      </c>
      <c r="H49" s="3" t="s">
        <v>659</v>
      </c>
      <c r="I49" s="92" t="s">
        <v>286</v>
      </c>
    </row>
    <row r="50" spans="1:9" ht="17">
      <c r="A50" s="67" t="s">
        <v>287</v>
      </c>
      <c r="B50" s="81" t="s">
        <v>728</v>
      </c>
      <c r="C50" s="73"/>
      <c r="D50" s="74"/>
      <c r="E50" s="74"/>
      <c r="F50" s="67" t="s">
        <v>835</v>
      </c>
      <c r="G50" s="8" t="s">
        <v>836</v>
      </c>
      <c r="H50" s="3" t="s">
        <v>659</v>
      </c>
      <c r="I50" s="92" t="s">
        <v>286</v>
      </c>
    </row>
    <row r="51" spans="1:9" ht="17">
      <c r="A51" s="86" t="s">
        <v>121</v>
      </c>
      <c r="B51" s="81" t="s">
        <v>728</v>
      </c>
      <c r="C51" s="73"/>
      <c r="D51" s="74"/>
      <c r="E51" s="74"/>
      <c r="F51" s="67" t="s">
        <v>627</v>
      </c>
      <c r="G51" s="8" t="s">
        <v>834</v>
      </c>
      <c r="H51" s="3" t="s">
        <v>659</v>
      </c>
      <c r="I51" s="92" t="s">
        <v>286</v>
      </c>
    </row>
    <row r="52" spans="1:9" ht="17">
      <c r="A52" s="86" t="s">
        <v>288</v>
      </c>
      <c r="B52" s="81" t="s">
        <v>728</v>
      </c>
      <c r="C52" s="73"/>
      <c r="D52" s="74"/>
      <c r="E52" s="74"/>
      <c r="F52" s="67" t="s">
        <v>833</v>
      </c>
      <c r="G52" s="8" t="s">
        <v>832</v>
      </c>
      <c r="H52" s="3" t="s">
        <v>659</v>
      </c>
      <c r="I52" s="92" t="s">
        <v>286</v>
      </c>
    </row>
    <row r="53" spans="1:9" ht="17">
      <c r="A53" s="86" t="s">
        <v>1</v>
      </c>
      <c r="B53" s="81" t="s">
        <v>728</v>
      </c>
      <c r="C53" s="73"/>
      <c r="D53" s="74"/>
      <c r="E53" s="74"/>
      <c r="F53" s="67" t="s">
        <v>830</v>
      </c>
      <c r="G53" s="8" t="s">
        <v>831</v>
      </c>
      <c r="H53" s="3" t="s">
        <v>659</v>
      </c>
      <c r="I53" s="92" t="s">
        <v>286</v>
      </c>
    </row>
    <row r="54" spans="1:9" ht="17">
      <c r="A54" s="86" t="s">
        <v>5</v>
      </c>
      <c r="B54" s="81" t="s">
        <v>728</v>
      </c>
      <c r="C54" s="73"/>
      <c r="D54" s="74"/>
      <c r="E54" s="74"/>
      <c r="F54" s="67" t="s">
        <v>829</v>
      </c>
      <c r="G54" s="8" t="s">
        <v>828</v>
      </c>
      <c r="H54" s="3" t="s">
        <v>659</v>
      </c>
      <c r="I54" s="92" t="s">
        <v>286</v>
      </c>
    </row>
    <row r="55" spans="1:9" ht="18" thickBot="1">
      <c r="A55" s="67" t="s">
        <v>289</v>
      </c>
      <c r="B55" s="81" t="s">
        <v>728</v>
      </c>
      <c r="C55" s="75"/>
      <c r="D55" s="76"/>
      <c r="E55" s="74"/>
      <c r="F55" s="69" t="s">
        <v>826</v>
      </c>
      <c r="G55" s="22" t="s">
        <v>827</v>
      </c>
      <c r="H55" s="3" t="s">
        <v>659</v>
      </c>
      <c r="I55" s="93" t="s">
        <v>286</v>
      </c>
    </row>
    <row r="56" spans="1:9">
      <c r="A56" s="67" t="s">
        <v>289</v>
      </c>
      <c r="B56" s="82" t="s">
        <v>660</v>
      </c>
      <c r="C56" s="77"/>
      <c r="D56" s="78"/>
      <c r="E56" s="78"/>
      <c r="F56" s="66" t="s">
        <v>807</v>
      </c>
      <c r="G56" s="20" t="s">
        <v>808</v>
      </c>
      <c r="H56" s="4" t="s">
        <v>659</v>
      </c>
      <c r="I56" s="89" t="s">
        <v>41</v>
      </c>
    </row>
    <row r="57" spans="1:9">
      <c r="A57" s="67" t="s">
        <v>881</v>
      </c>
      <c r="B57" s="80" t="s">
        <v>660</v>
      </c>
      <c r="C57" s="73"/>
      <c r="D57" s="74"/>
      <c r="E57" s="74"/>
      <c r="F57" s="67" t="s">
        <v>591</v>
      </c>
      <c r="G57" s="8" t="s">
        <v>809</v>
      </c>
      <c r="H57" s="25" t="s">
        <v>658</v>
      </c>
      <c r="I57" s="89" t="s">
        <v>41</v>
      </c>
    </row>
    <row r="58" spans="1:9">
      <c r="A58" s="86" t="s">
        <v>288</v>
      </c>
      <c r="B58" s="80" t="s">
        <v>660</v>
      </c>
      <c r="C58" s="73"/>
      <c r="D58" s="74"/>
      <c r="E58" s="74"/>
      <c r="F58" s="67" t="s">
        <v>603</v>
      </c>
      <c r="G58" s="8" t="s">
        <v>825</v>
      </c>
      <c r="H58" s="3" t="s">
        <v>659</v>
      </c>
      <c r="I58" s="89" t="s">
        <v>41</v>
      </c>
    </row>
    <row r="59" spans="1:9">
      <c r="A59" s="67" t="s">
        <v>1</v>
      </c>
      <c r="B59" s="80" t="s">
        <v>660</v>
      </c>
      <c r="C59" s="73"/>
      <c r="D59" s="74"/>
      <c r="E59" s="74"/>
      <c r="F59" s="67" t="s">
        <v>562</v>
      </c>
      <c r="G59" s="8" t="s">
        <v>824</v>
      </c>
      <c r="H59" s="3" t="s">
        <v>659</v>
      </c>
      <c r="I59" s="89" t="s">
        <v>41</v>
      </c>
    </row>
    <row r="60" spans="1:9" ht="17" thickBot="1">
      <c r="A60" s="67" t="s">
        <v>410</v>
      </c>
      <c r="B60" s="80" t="s">
        <v>660</v>
      </c>
      <c r="C60" s="73"/>
      <c r="D60" s="74"/>
      <c r="E60" s="74"/>
      <c r="F60" s="67" t="s">
        <v>823</v>
      </c>
      <c r="G60" s="8" t="s">
        <v>822</v>
      </c>
      <c r="H60" s="3" t="s">
        <v>659</v>
      </c>
      <c r="I60" s="89" t="s">
        <v>41</v>
      </c>
    </row>
    <row r="61" spans="1:9">
      <c r="A61" s="66" t="s">
        <v>92</v>
      </c>
      <c r="B61" s="80" t="s">
        <v>660</v>
      </c>
      <c r="C61" s="73"/>
      <c r="D61" s="74"/>
      <c r="E61" s="74"/>
      <c r="F61" s="67" t="s">
        <v>821</v>
      </c>
      <c r="G61" s="8" t="s">
        <v>232</v>
      </c>
      <c r="H61" s="25" t="s">
        <v>658</v>
      </c>
      <c r="I61" s="89" t="s">
        <v>41</v>
      </c>
    </row>
    <row r="62" spans="1:9">
      <c r="A62" s="67" t="s">
        <v>251</v>
      </c>
      <c r="B62" s="80" t="s">
        <v>660</v>
      </c>
      <c r="C62" s="73"/>
      <c r="D62" s="74"/>
      <c r="E62" s="74"/>
      <c r="F62" s="67" t="s">
        <v>820</v>
      </c>
      <c r="G62" s="8" t="s">
        <v>819</v>
      </c>
      <c r="H62" s="25" t="s">
        <v>658</v>
      </c>
      <c r="I62" s="89" t="s">
        <v>41</v>
      </c>
    </row>
    <row r="63" spans="1:9">
      <c r="A63" s="67" t="s">
        <v>3</v>
      </c>
      <c r="B63" s="80" t="s">
        <v>660</v>
      </c>
      <c r="C63" s="73"/>
      <c r="D63" s="74"/>
      <c r="E63" s="74"/>
      <c r="F63" s="67" t="s">
        <v>817</v>
      </c>
      <c r="G63" s="8" t="s">
        <v>818</v>
      </c>
      <c r="H63" s="3" t="s">
        <v>659</v>
      </c>
      <c r="I63" s="89" t="s">
        <v>41</v>
      </c>
    </row>
    <row r="64" spans="1:9">
      <c r="A64" s="67" t="s">
        <v>413</v>
      </c>
      <c r="B64" s="80" t="s">
        <v>660</v>
      </c>
      <c r="C64" s="73"/>
      <c r="D64" s="74"/>
      <c r="E64" s="74"/>
      <c r="F64" s="67" t="s">
        <v>815</v>
      </c>
      <c r="G64" s="8" t="s">
        <v>816</v>
      </c>
      <c r="H64" s="3" t="s">
        <v>659</v>
      </c>
      <c r="I64" s="89" t="s">
        <v>41</v>
      </c>
    </row>
    <row r="65" spans="1:9">
      <c r="A65" s="67" t="s">
        <v>414</v>
      </c>
      <c r="B65" s="80" t="s">
        <v>660</v>
      </c>
      <c r="C65" s="73"/>
      <c r="D65" s="74"/>
      <c r="E65" s="74"/>
      <c r="F65" s="67" t="s">
        <v>219</v>
      </c>
      <c r="G65" s="8" t="s">
        <v>814</v>
      </c>
      <c r="H65" s="3" t="s">
        <v>659</v>
      </c>
      <c r="I65" s="89" t="s">
        <v>41</v>
      </c>
    </row>
    <row r="66" spans="1:9">
      <c r="A66" s="67" t="s">
        <v>263</v>
      </c>
      <c r="B66" s="80" t="s">
        <v>660</v>
      </c>
      <c r="C66" s="73"/>
      <c r="D66" s="74"/>
      <c r="E66" s="74"/>
      <c r="F66" s="67" t="s">
        <v>813</v>
      </c>
      <c r="G66" s="8" t="s">
        <v>580</v>
      </c>
      <c r="H66" s="3" t="s">
        <v>659</v>
      </c>
      <c r="I66" s="89" t="s">
        <v>41</v>
      </c>
    </row>
    <row r="67" spans="1:9">
      <c r="A67" s="67" t="s">
        <v>98</v>
      </c>
      <c r="B67" s="80" t="s">
        <v>660</v>
      </c>
      <c r="C67" s="73"/>
      <c r="D67" s="74"/>
      <c r="E67" s="74"/>
      <c r="F67" s="67" t="s">
        <v>811</v>
      </c>
      <c r="G67" s="8" t="s">
        <v>812</v>
      </c>
      <c r="H67" s="25" t="s">
        <v>658</v>
      </c>
      <c r="I67" s="89" t="s">
        <v>41</v>
      </c>
    </row>
    <row r="68" spans="1:9">
      <c r="A68" s="67" t="s">
        <v>880</v>
      </c>
      <c r="B68" s="80" t="s">
        <v>660</v>
      </c>
      <c r="C68" s="73"/>
      <c r="D68" s="74"/>
      <c r="E68" s="74"/>
      <c r="F68" s="67" t="s">
        <v>620</v>
      </c>
      <c r="G68" s="8" t="s">
        <v>810</v>
      </c>
      <c r="H68" s="25" t="s">
        <v>658</v>
      </c>
      <c r="I68" s="89" t="s">
        <v>41</v>
      </c>
    </row>
    <row r="69" spans="1:9" ht="17" thickBot="1">
      <c r="A69" s="67" t="s">
        <v>5</v>
      </c>
      <c r="B69" s="80" t="s">
        <v>660</v>
      </c>
      <c r="C69" s="75"/>
      <c r="D69" s="76"/>
      <c r="E69" s="74"/>
      <c r="F69" s="69" t="s">
        <v>363</v>
      </c>
      <c r="G69" s="22" t="s">
        <v>362</v>
      </c>
      <c r="H69" s="25" t="s">
        <v>658</v>
      </c>
      <c r="I69" s="90" t="s">
        <v>41</v>
      </c>
    </row>
    <row r="70" spans="1:9" ht="17" customHeight="1" thickBot="1">
      <c r="A70" s="66" t="s">
        <v>92</v>
      </c>
      <c r="B70" s="96" t="s">
        <v>485</v>
      </c>
      <c r="C70" s="77"/>
      <c r="D70" s="78"/>
      <c r="E70" s="97"/>
      <c r="F70" s="66" t="s">
        <v>805</v>
      </c>
      <c r="G70" s="20" t="s">
        <v>806</v>
      </c>
      <c r="H70" s="63" t="s">
        <v>658</v>
      </c>
      <c r="I70" s="89" t="s">
        <v>91</v>
      </c>
    </row>
    <row r="71" spans="1:9">
      <c r="A71" s="66" t="s">
        <v>2</v>
      </c>
      <c r="B71" s="82" t="s">
        <v>474</v>
      </c>
      <c r="C71" s="77"/>
      <c r="D71" s="78"/>
      <c r="E71" s="97"/>
      <c r="F71" s="20" t="s">
        <v>228</v>
      </c>
      <c r="G71" s="20" t="s">
        <v>229</v>
      </c>
      <c r="H71" s="4" t="s">
        <v>659</v>
      </c>
      <c r="I71" s="91" t="s">
        <v>95</v>
      </c>
    </row>
    <row r="72" spans="1:9">
      <c r="A72" s="67" t="s">
        <v>3</v>
      </c>
      <c r="B72" s="80" t="s">
        <v>474</v>
      </c>
      <c r="C72" s="73"/>
      <c r="D72" s="74"/>
      <c r="E72" s="98"/>
      <c r="F72" s="8" t="s">
        <v>803</v>
      </c>
      <c r="G72" s="8" t="s">
        <v>804</v>
      </c>
      <c r="H72" s="3" t="s">
        <v>659</v>
      </c>
      <c r="I72" s="89" t="s">
        <v>95</v>
      </c>
    </row>
    <row r="73" spans="1:9">
      <c r="A73" s="67" t="s">
        <v>4</v>
      </c>
      <c r="B73" s="80" t="s">
        <v>474</v>
      </c>
      <c r="C73" s="73"/>
      <c r="D73" s="74"/>
      <c r="E73" s="98"/>
      <c r="F73" s="8" t="s">
        <v>220</v>
      </c>
      <c r="G73" s="8" t="s">
        <v>802</v>
      </c>
      <c r="H73" s="25" t="s">
        <v>658</v>
      </c>
      <c r="I73" s="89" t="s">
        <v>95</v>
      </c>
    </row>
    <row r="74" spans="1:9">
      <c r="A74" s="67" t="s">
        <v>263</v>
      </c>
      <c r="B74" s="80" t="s">
        <v>474</v>
      </c>
      <c r="C74" s="73"/>
      <c r="D74" s="74"/>
      <c r="E74" s="98"/>
      <c r="F74" s="8" t="s">
        <v>801</v>
      </c>
      <c r="G74" s="8" t="s">
        <v>581</v>
      </c>
      <c r="H74" s="25" t="s">
        <v>658</v>
      </c>
      <c r="I74" s="89" t="s">
        <v>95</v>
      </c>
    </row>
    <row r="75" spans="1:9">
      <c r="A75" s="67" t="s">
        <v>98</v>
      </c>
      <c r="B75" s="80" t="s">
        <v>474</v>
      </c>
      <c r="C75" s="73"/>
      <c r="D75" s="74"/>
      <c r="E75" s="98"/>
      <c r="F75" s="8" t="s">
        <v>583</v>
      </c>
      <c r="G75" s="8" t="s">
        <v>800</v>
      </c>
      <c r="H75" s="25" t="s">
        <v>658</v>
      </c>
      <c r="I75" s="89" t="s">
        <v>95</v>
      </c>
    </row>
    <row r="76" spans="1:9">
      <c r="A76" s="67" t="s">
        <v>5</v>
      </c>
      <c r="B76" s="80" t="s">
        <v>474</v>
      </c>
      <c r="C76" s="73"/>
      <c r="D76" s="74"/>
      <c r="E76" s="98"/>
      <c r="F76" s="8" t="s">
        <v>798</v>
      </c>
      <c r="G76" s="8" t="s">
        <v>799</v>
      </c>
      <c r="H76" s="25" t="s">
        <v>658</v>
      </c>
      <c r="I76" s="89" t="s">
        <v>95</v>
      </c>
    </row>
    <row r="77" spans="1:9">
      <c r="A77" s="67" t="s">
        <v>1</v>
      </c>
      <c r="B77" s="80" t="s">
        <v>474</v>
      </c>
      <c r="C77" s="73"/>
      <c r="D77" s="74"/>
      <c r="E77" s="98"/>
      <c r="F77" s="8" t="s">
        <v>797</v>
      </c>
      <c r="G77" s="8" t="s">
        <v>563</v>
      </c>
      <c r="H77" s="25" t="s">
        <v>658</v>
      </c>
      <c r="I77" s="89" t="s">
        <v>95</v>
      </c>
    </row>
    <row r="78" spans="1:9" ht="17" thickBot="1">
      <c r="A78" s="86" t="s">
        <v>288</v>
      </c>
      <c r="B78" s="80" t="s">
        <v>474</v>
      </c>
      <c r="C78" s="75"/>
      <c r="D78" s="76"/>
      <c r="E78" s="99"/>
      <c r="F78" s="22" t="s">
        <v>796</v>
      </c>
      <c r="G78" s="22" t="s">
        <v>609</v>
      </c>
      <c r="H78" s="25" t="s">
        <v>658</v>
      </c>
      <c r="I78" s="90" t="s">
        <v>95</v>
      </c>
    </row>
    <row r="79" spans="1:9">
      <c r="A79" s="66" t="s">
        <v>5</v>
      </c>
      <c r="B79" s="82" t="s">
        <v>475</v>
      </c>
      <c r="C79" s="77"/>
      <c r="D79" s="78"/>
      <c r="E79" s="97"/>
      <c r="F79" s="66" t="s">
        <v>793</v>
      </c>
      <c r="G79" s="20" t="s">
        <v>794</v>
      </c>
      <c r="H79" s="4" t="s">
        <v>659</v>
      </c>
      <c r="I79" s="89" t="s">
        <v>333</v>
      </c>
    </row>
    <row r="80" spans="1:9">
      <c r="A80" s="67" t="s">
        <v>414</v>
      </c>
      <c r="B80" s="80" t="s">
        <v>475</v>
      </c>
      <c r="C80" s="73"/>
      <c r="D80" s="74"/>
      <c r="E80" s="98"/>
      <c r="F80" s="67" t="s">
        <v>792</v>
      </c>
      <c r="G80" s="8" t="s">
        <v>795</v>
      </c>
      <c r="H80" s="3" t="s">
        <v>659</v>
      </c>
      <c r="I80" s="89" t="s">
        <v>333</v>
      </c>
    </row>
    <row r="81" spans="1:9" ht="17" thickBot="1">
      <c r="A81" s="67" t="s">
        <v>98</v>
      </c>
      <c r="B81" s="80" t="s">
        <v>475</v>
      </c>
      <c r="C81" s="73"/>
      <c r="D81" s="74"/>
      <c r="E81" s="98"/>
      <c r="F81" s="69" t="s">
        <v>585</v>
      </c>
      <c r="G81" s="22" t="s">
        <v>586</v>
      </c>
      <c r="H81" s="3" t="s">
        <v>659</v>
      </c>
      <c r="I81" s="90" t="s">
        <v>333</v>
      </c>
    </row>
    <row r="82" spans="1:9">
      <c r="A82" s="66" t="s">
        <v>2</v>
      </c>
      <c r="B82" s="82" t="s">
        <v>469</v>
      </c>
      <c r="C82" s="77"/>
      <c r="D82" s="78"/>
      <c r="E82" s="97"/>
      <c r="F82" s="20" t="s">
        <v>791</v>
      </c>
      <c r="G82" s="20" t="s">
        <v>352</v>
      </c>
      <c r="H82" s="4" t="s">
        <v>659</v>
      </c>
      <c r="I82" s="91" t="s">
        <v>248</v>
      </c>
    </row>
    <row r="83" spans="1:9">
      <c r="A83" s="67" t="s">
        <v>1</v>
      </c>
      <c r="B83" s="80" t="s">
        <v>469</v>
      </c>
      <c r="C83" s="73"/>
      <c r="D83" s="74"/>
      <c r="E83" s="98"/>
      <c r="F83" s="8" t="s">
        <v>789</v>
      </c>
      <c r="G83" s="8" t="s">
        <v>790</v>
      </c>
      <c r="H83" s="25" t="s">
        <v>658</v>
      </c>
      <c r="I83" s="89" t="s">
        <v>248</v>
      </c>
    </row>
    <row r="84" spans="1:9">
      <c r="A84" s="67" t="s">
        <v>5</v>
      </c>
      <c r="B84" s="80" t="s">
        <v>469</v>
      </c>
      <c r="C84" s="73"/>
      <c r="D84" s="74"/>
      <c r="E84" s="98"/>
      <c r="F84" s="8" t="s">
        <v>370</v>
      </c>
      <c r="G84" s="8" t="s">
        <v>371</v>
      </c>
      <c r="H84" s="25" t="s">
        <v>658</v>
      </c>
      <c r="I84" s="89" t="s">
        <v>248</v>
      </c>
    </row>
    <row r="85" spans="1:9">
      <c r="A85" s="67" t="s">
        <v>3</v>
      </c>
      <c r="B85" s="80" t="s">
        <v>469</v>
      </c>
      <c r="C85" s="73"/>
      <c r="D85" s="74"/>
      <c r="E85" s="98"/>
      <c r="F85" s="8" t="s">
        <v>788</v>
      </c>
      <c r="G85" s="8" t="s">
        <v>359</v>
      </c>
      <c r="H85" s="3" t="s">
        <v>659</v>
      </c>
      <c r="I85" s="89" t="s">
        <v>248</v>
      </c>
    </row>
    <row r="86" spans="1:9">
      <c r="A86" s="67" t="s">
        <v>117</v>
      </c>
      <c r="B86" s="80" t="s">
        <v>469</v>
      </c>
      <c r="C86" s="73"/>
      <c r="D86" s="74"/>
      <c r="E86" s="98"/>
      <c r="F86" s="8" t="s">
        <v>787</v>
      </c>
      <c r="G86" s="8" t="s">
        <v>578</v>
      </c>
      <c r="H86" s="3" t="s">
        <v>659</v>
      </c>
      <c r="I86" s="89" t="s">
        <v>248</v>
      </c>
    </row>
    <row r="87" spans="1:9">
      <c r="A87" s="67" t="s">
        <v>4</v>
      </c>
      <c r="B87" s="80" t="s">
        <v>469</v>
      </c>
      <c r="C87" s="73"/>
      <c r="D87" s="74"/>
      <c r="E87" s="98"/>
      <c r="F87" s="8" t="s">
        <v>361</v>
      </c>
      <c r="G87" s="8" t="s">
        <v>786</v>
      </c>
      <c r="H87" s="25" t="s">
        <v>658</v>
      </c>
      <c r="I87" s="89" t="s">
        <v>248</v>
      </c>
    </row>
    <row r="88" spans="1:9">
      <c r="A88" s="67" t="s">
        <v>98</v>
      </c>
      <c r="B88" s="80" t="s">
        <v>469</v>
      </c>
      <c r="C88" s="73"/>
      <c r="D88" s="74"/>
      <c r="E88" s="100"/>
      <c r="F88" s="8" t="s">
        <v>587</v>
      </c>
      <c r="G88" s="8" t="s">
        <v>785</v>
      </c>
      <c r="H88" s="3" t="s">
        <v>659</v>
      </c>
      <c r="I88" s="89" t="s">
        <v>248</v>
      </c>
    </row>
    <row r="89" spans="1:9">
      <c r="A89" s="67" t="s">
        <v>251</v>
      </c>
      <c r="B89" s="80" t="s">
        <v>469</v>
      </c>
      <c r="C89" s="73"/>
      <c r="D89" s="74"/>
      <c r="E89" s="100"/>
      <c r="F89" s="8" t="s">
        <v>783</v>
      </c>
      <c r="G89" s="8" t="s">
        <v>784</v>
      </c>
      <c r="H89" s="3" t="s">
        <v>659</v>
      </c>
      <c r="I89" s="89" t="s">
        <v>248</v>
      </c>
    </row>
    <row r="90" spans="1:9">
      <c r="A90" s="67" t="s">
        <v>263</v>
      </c>
      <c r="B90" s="80" t="s">
        <v>469</v>
      </c>
      <c r="C90" s="73"/>
      <c r="D90" s="74"/>
      <c r="E90" s="100"/>
      <c r="F90" s="29" t="s">
        <v>781</v>
      </c>
      <c r="G90" s="8" t="s">
        <v>782</v>
      </c>
      <c r="H90" s="3" t="s">
        <v>659</v>
      </c>
      <c r="I90" s="89" t="s">
        <v>248</v>
      </c>
    </row>
    <row r="91" spans="1:9" ht="17" thickBot="1">
      <c r="A91" s="86" t="s">
        <v>288</v>
      </c>
      <c r="B91" s="83" t="s">
        <v>469</v>
      </c>
      <c r="C91" s="75"/>
      <c r="D91" s="76"/>
      <c r="E91" s="101"/>
      <c r="F91" s="22" t="s">
        <v>361</v>
      </c>
      <c r="G91" s="22" t="s">
        <v>613</v>
      </c>
      <c r="H91" s="6" t="s">
        <v>659</v>
      </c>
      <c r="I91" s="90" t="s">
        <v>248</v>
      </c>
    </row>
    <row r="108" spans="11:11">
      <c r="K108" s="25"/>
    </row>
  </sheetData>
  <autoFilter ref="A1:I91" xr:uid="{681F68C2-491D-0640-B8C5-E2D56EE21A4B}"/>
  <phoneticPr fontId="4" type="noConversion"/>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24BAD-4AFF-9949-8367-AC27670924A1}">
  <dimension ref="A1:T103"/>
  <sheetViews>
    <sheetView zoomScale="61" zoomScaleNormal="40" workbookViewId="0">
      <pane ySplit="1" topLeftCell="A2" activePane="bottomLeft" state="frozen"/>
      <selection pane="bottomLeft" activeCell="L11" sqref="L11"/>
    </sheetView>
  </sheetViews>
  <sheetFormatPr baseColWidth="10" defaultRowHeight="16"/>
  <cols>
    <col min="1" max="1" width="17.1640625" bestFit="1" customWidth="1"/>
    <col min="2" max="2" width="12.33203125" customWidth="1"/>
    <col min="3" max="3" width="21.5" customWidth="1"/>
    <col min="4" max="4" width="12.5" customWidth="1"/>
    <col min="5" max="5" width="13.33203125" customWidth="1"/>
    <col min="6" max="6" width="32.83203125" customWidth="1"/>
    <col min="7" max="7" width="2.6640625" hidden="1" customWidth="1"/>
    <col min="8" max="8" width="10.5" customWidth="1"/>
    <col min="9" max="9" width="11" customWidth="1"/>
    <col min="10" max="10" width="13.6640625" hidden="1" customWidth="1"/>
    <col min="11" max="11" width="19.5" customWidth="1"/>
    <col min="12" max="12" width="23.1640625" customWidth="1"/>
    <col min="13" max="13" width="3" hidden="1" customWidth="1"/>
    <col min="14" max="14" width="16.6640625" customWidth="1"/>
    <col min="15" max="15" width="18.33203125" customWidth="1"/>
    <col min="16" max="16" width="32.33203125" hidden="1" customWidth="1"/>
    <col min="17" max="17" width="16" customWidth="1"/>
    <col min="18" max="19" width="37.33203125" customWidth="1"/>
    <col min="20" max="20" width="15.33203125" customWidth="1"/>
  </cols>
  <sheetData>
    <row r="1" spans="1:20" ht="69" customHeight="1" thickBot="1">
      <c r="A1" s="309" t="s">
        <v>25</v>
      </c>
      <c r="B1" s="310" t="s">
        <v>1023</v>
      </c>
      <c r="C1" s="310" t="s">
        <v>1099</v>
      </c>
      <c r="D1" s="310" t="s">
        <v>1115</v>
      </c>
      <c r="E1" s="310" t="s">
        <v>1119</v>
      </c>
      <c r="F1" s="310" t="s">
        <v>884</v>
      </c>
      <c r="G1" s="310" t="s">
        <v>883</v>
      </c>
      <c r="H1" s="310" t="s">
        <v>1100</v>
      </c>
      <c r="I1" s="310" t="s">
        <v>1101</v>
      </c>
      <c r="J1" s="310" t="s">
        <v>667</v>
      </c>
      <c r="K1" s="310" t="s">
        <v>27</v>
      </c>
      <c r="L1" s="310" t="s">
        <v>28</v>
      </c>
      <c r="M1" s="310" t="s">
        <v>667</v>
      </c>
      <c r="N1" s="310" t="s">
        <v>882</v>
      </c>
      <c r="O1" s="310" t="s">
        <v>1112</v>
      </c>
      <c r="P1" s="311" t="s">
        <v>650</v>
      </c>
      <c r="Q1" s="310" t="s">
        <v>1113</v>
      </c>
      <c r="R1" s="311" t="s">
        <v>889</v>
      </c>
      <c r="S1" s="312" t="s">
        <v>1014</v>
      </c>
      <c r="T1" s="119"/>
    </row>
    <row r="2" spans="1:20" ht="16" customHeight="1">
      <c r="A2" s="377" t="s">
        <v>262</v>
      </c>
      <c r="B2" s="374" t="s">
        <v>926</v>
      </c>
      <c r="C2" s="374" t="s">
        <v>1111</v>
      </c>
      <c r="D2" s="403" t="s">
        <v>1116</v>
      </c>
      <c r="E2" s="374" t="s">
        <v>1123</v>
      </c>
      <c r="F2" s="374" t="s">
        <v>631</v>
      </c>
      <c r="G2" s="479"/>
      <c r="H2" s="374" t="s">
        <v>919</v>
      </c>
      <c r="I2" s="110" t="s">
        <v>263</v>
      </c>
      <c r="J2" s="117" t="s">
        <v>675</v>
      </c>
      <c r="K2" s="265" t="s">
        <v>487</v>
      </c>
      <c r="L2" s="110" t="s">
        <v>488</v>
      </c>
      <c r="M2" s="110" t="s">
        <v>373</v>
      </c>
      <c r="N2" s="267" t="s">
        <v>266</v>
      </c>
      <c r="O2" s="478" t="s">
        <v>1026</v>
      </c>
      <c r="P2" s="268" t="s">
        <v>921</v>
      </c>
      <c r="Q2" s="377" t="s">
        <v>1114</v>
      </c>
      <c r="R2" s="363" t="s">
        <v>918</v>
      </c>
      <c r="S2" s="366" t="s">
        <v>1015</v>
      </c>
    </row>
    <row r="3" spans="1:20" ht="51">
      <c r="A3" s="377"/>
      <c r="B3" s="374"/>
      <c r="C3" s="374"/>
      <c r="D3" s="403"/>
      <c r="E3" s="374"/>
      <c r="F3" s="374"/>
      <c r="G3" s="479"/>
      <c r="H3" s="374"/>
      <c r="I3" s="110" t="s">
        <v>4</v>
      </c>
      <c r="J3" s="117" t="s">
        <v>675</v>
      </c>
      <c r="K3" s="265" t="s">
        <v>490</v>
      </c>
      <c r="L3" s="110" t="s">
        <v>489</v>
      </c>
      <c r="M3" s="110" t="s">
        <v>374</v>
      </c>
      <c r="N3" s="267" t="s">
        <v>267</v>
      </c>
      <c r="O3" s="478"/>
      <c r="P3" s="268" t="s">
        <v>921</v>
      </c>
      <c r="Q3" s="377"/>
      <c r="R3" s="363"/>
      <c r="S3" s="367"/>
    </row>
    <row r="4" spans="1:20" ht="59" customHeight="1" thickBot="1">
      <c r="A4" s="378"/>
      <c r="B4" s="375"/>
      <c r="C4" s="375"/>
      <c r="D4" s="404"/>
      <c r="E4" s="375"/>
      <c r="F4" s="375"/>
      <c r="G4" s="480"/>
      <c r="H4" s="375"/>
      <c r="I4" s="270" t="s">
        <v>5</v>
      </c>
      <c r="J4" s="271" t="s">
        <v>675</v>
      </c>
      <c r="K4" s="269" t="s">
        <v>493</v>
      </c>
      <c r="L4" s="270" t="s">
        <v>491</v>
      </c>
      <c r="M4" s="270" t="s">
        <v>383</v>
      </c>
      <c r="N4" s="272" t="s">
        <v>266</v>
      </c>
      <c r="O4" s="476"/>
      <c r="P4" s="274" t="s">
        <v>921</v>
      </c>
      <c r="Q4" s="378"/>
      <c r="R4" s="395"/>
      <c r="S4" s="394"/>
    </row>
    <row r="5" spans="1:20" ht="99" customHeight="1" thickBot="1">
      <c r="A5" s="259" t="s">
        <v>1333</v>
      </c>
      <c r="B5" s="260" t="s">
        <v>1331</v>
      </c>
      <c r="C5" s="260" t="s">
        <v>1342</v>
      </c>
      <c r="D5" s="276" t="s">
        <v>1343</v>
      </c>
      <c r="E5" s="260" t="s">
        <v>1344</v>
      </c>
      <c r="F5" s="260" t="s">
        <v>1341</v>
      </c>
      <c r="G5" s="260"/>
      <c r="H5" s="260" t="s">
        <v>924</v>
      </c>
      <c r="I5" s="260" t="s">
        <v>5</v>
      </c>
      <c r="J5" s="277"/>
      <c r="K5" s="259" t="s">
        <v>1335</v>
      </c>
      <c r="L5" s="260" t="s">
        <v>1336</v>
      </c>
      <c r="M5" s="260"/>
      <c r="N5" s="262" t="s">
        <v>1337</v>
      </c>
      <c r="O5" s="263" t="s">
        <v>1332</v>
      </c>
      <c r="P5" s="278"/>
      <c r="Q5" s="279" t="s">
        <v>1114</v>
      </c>
      <c r="R5" s="264" t="s">
        <v>1189</v>
      </c>
      <c r="S5" s="280" t="s">
        <v>1330</v>
      </c>
      <c r="T5" s="117"/>
    </row>
    <row r="6" spans="1:20" ht="52" customHeight="1" thickBot="1">
      <c r="A6" s="376" t="s">
        <v>1354</v>
      </c>
      <c r="B6" s="373" t="s">
        <v>1355</v>
      </c>
      <c r="C6" s="373" t="s">
        <v>1359</v>
      </c>
      <c r="D6" s="415" t="s">
        <v>1373</v>
      </c>
      <c r="E6" s="373" t="s">
        <v>1374</v>
      </c>
      <c r="F6" s="373" t="s">
        <v>1358</v>
      </c>
      <c r="G6" s="260"/>
      <c r="H6" s="373" t="s">
        <v>1360</v>
      </c>
      <c r="I6" s="262" t="s">
        <v>3</v>
      </c>
      <c r="J6" s="261"/>
      <c r="K6" s="259" t="s">
        <v>1369</v>
      </c>
      <c r="L6" s="260" t="s">
        <v>1370</v>
      </c>
      <c r="M6" s="260"/>
      <c r="N6" s="260" t="s">
        <v>87</v>
      </c>
      <c r="O6" s="475" t="s">
        <v>1202</v>
      </c>
      <c r="P6" s="115"/>
      <c r="Q6" s="382" t="s">
        <v>1135</v>
      </c>
      <c r="R6" s="362" t="s">
        <v>1356</v>
      </c>
      <c r="S6" s="411" t="s">
        <v>1357</v>
      </c>
      <c r="T6" s="117"/>
    </row>
    <row r="7" spans="1:20" ht="62" customHeight="1" thickBot="1">
      <c r="A7" s="378"/>
      <c r="B7" s="375"/>
      <c r="C7" s="375"/>
      <c r="D7" s="481"/>
      <c r="E7" s="375"/>
      <c r="F7" s="375"/>
      <c r="G7" s="270"/>
      <c r="H7" s="375"/>
      <c r="I7" s="272" t="s">
        <v>1</v>
      </c>
      <c r="J7" s="261"/>
      <c r="K7" s="269" t="s">
        <v>1368</v>
      </c>
      <c r="L7" s="270" t="s">
        <v>1371</v>
      </c>
      <c r="M7" s="270"/>
      <c r="N7" s="270" t="s">
        <v>1372</v>
      </c>
      <c r="O7" s="476"/>
      <c r="P7" s="115"/>
      <c r="Q7" s="416"/>
      <c r="R7" s="395"/>
      <c r="S7" s="412"/>
      <c r="T7" s="117"/>
    </row>
    <row r="8" spans="1:20" ht="68">
      <c r="A8" s="377" t="s">
        <v>360</v>
      </c>
      <c r="B8" s="374" t="s">
        <v>1028</v>
      </c>
      <c r="C8" s="374" t="s">
        <v>1104</v>
      </c>
      <c r="D8" s="403" t="s">
        <v>1118</v>
      </c>
      <c r="E8" s="374" t="s">
        <v>1128</v>
      </c>
      <c r="F8" s="374" t="s">
        <v>890</v>
      </c>
      <c r="G8" s="374" t="s">
        <v>885</v>
      </c>
      <c r="H8" s="374" t="s">
        <v>920</v>
      </c>
      <c r="I8" s="110" t="s">
        <v>1</v>
      </c>
      <c r="J8" s="279" t="s">
        <v>686</v>
      </c>
      <c r="K8" s="265" t="s">
        <v>7</v>
      </c>
      <c r="L8" s="110" t="s">
        <v>13</v>
      </c>
      <c r="M8" s="110" t="s">
        <v>377</v>
      </c>
      <c r="N8" s="267" t="s">
        <v>19</v>
      </c>
      <c r="O8" s="478" t="s">
        <v>1026</v>
      </c>
      <c r="P8" s="115" t="s">
        <v>887</v>
      </c>
      <c r="Q8" s="374" t="s">
        <v>1127</v>
      </c>
      <c r="R8" s="363" t="s">
        <v>888</v>
      </c>
      <c r="S8" s="410" t="s">
        <v>1016</v>
      </c>
      <c r="T8" s="117"/>
    </row>
    <row r="9" spans="1:20" ht="51">
      <c r="A9" s="377"/>
      <c r="B9" s="374"/>
      <c r="C9" s="374"/>
      <c r="D9" s="403"/>
      <c r="E9" s="374"/>
      <c r="F9" s="374"/>
      <c r="G9" s="374"/>
      <c r="H9" s="374"/>
      <c r="I9" s="110" t="s">
        <v>2</v>
      </c>
      <c r="J9" s="283" t="s">
        <v>686</v>
      </c>
      <c r="K9" s="265" t="s">
        <v>8</v>
      </c>
      <c r="L9" s="110" t="s">
        <v>14</v>
      </c>
      <c r="M9" s="110" t="s">
        <v>378</v>
      </c>
      <c r="N9" s="267" t="s">
        <v>20</v>
      </c>
      <c r="O9" s="478"/>
      <c r="P9" s="115" t="s">
        <v>887</v>
      </c>
      <c r="Q9" s="374"/>
      <c r="R9" s="363"/>
      <c r="S9" s="410"/>
      <c r="T9" s="117"/>
    </row>
    <row r="10" spans="1:20" ht="51">
      <c r="A10" s="377"/>
      <c r="B10" s="374"/>
      <c r="C10" s="374"/>
      <c r="D10" s="403"/>
      <c r="E10" s="374"/>
      <c r="F10" s="374"/>
      <c r="G10" s="374"/>
      <c r="H10" s="374"/>
      <c r="I10" s="110" t="s">
        <v>3</v>
      </c>
      <c r="J10" s="283" t="s">
        <v>686</v>
      </c>
      <c r="K10" s="265" t="s">
        <v>9</v>
      </c>
      <c r="L10" s="110" t="s">
        <v>15</v>
      </c>
      <c r="M10" s="110" t="s">
        <v>379</v>
      </c>
      <c r="N10" s="267" t="s">
        <v>21</v>
      </c>
      <c r="O10" s="478"/>
      <c r="P10" s="115" t="s">
        <v>887</v>
      </c>
      <c r="Q10" s="374"/>
      <c r="R10" s="363"/>
      <c r="S10" s="410"/>
      <c r="T10" s="117"/>
    </row>
    <row r="11" spans="1:20" ht="69" customHeight="1">
      <c r="A11" s="377"/>
      <c r="B11" s="374"/>
      <c r="C11" s="374"/>
      <c r="D11" s="403"/>
      <c r="E11" s="374"/>
      <c r="F11" s="374"/>
      <c r="G11" s="374"/>
      <c r="H11" s="374"/>
      <c r="I11" s="110" t="s">
        <v>4</v>
      </c>
      <c r="J11" s="283" t="s">
        <v>675</v>
      </c>
      <c r="K11" s="265" t="s">
        <v>10</v>
      </c>
      <c r="L11" s="110" t="s">
        <v>16</v>
      </c>
      <c r="M11" s="110" t="s">
        <v>374</v>
      </c>
      <c r="N11" s="267" t="s">
        <v>22</v>
      </c>
      <c r="O11" s="478"/>
      <c r="P11" s="115" t="s">
        <v>887</v>
      </c>
      <c r="Q11" s="374"/>
      <c r="R11" s="363"/>
      <c r="S11" s="410"/>
      <c r="T11" s="117"/>
    </row>
    <row r="12" spans="1:20" ht="32" customHeight="1" thickBot="1">
      <c r="A12" s="378"/>
      <c r="B12" s="375"/>
      <c r="C12" s="375"/>
      <c r="D12" s="404"/>
      <c r="E12" s="375"/>
      <c r="F12" s="375"/>
      <c r="G12" s="375"/>
      <c r="H12" s="375"/>
      <c r="I12" s="270" t="s">
        <v>5</v>
      </c>
      <c r="J12" s="284" t="s">
        <v>675</v>
      </c>
      <c r="K12" s="269" t="s">
        <v>11</v>
      </c>
      <c r="L12" s="270" t="s">
        <v>17</v>
      </c>
      <c r="M12" s="270" t="s">
        <v>383</v>
      </c>
      <c r="N12" s="272" t="s">
        <v>23</v>
      </c>
      <c r="O12" s="476"/>
      <c r="P12" s="285" t="s">
        <v>887</v>
      </c>
      <c r="Q12" s="375"/>
      <c r="R12" s="395"/>
      <c r="S12" s="412"/>
      <c r="T12" s="117"/>
    </row>
    <row r="13" spans="1:20" ht="21" customHeight="1">
      <c r="A13" s="376" t="s">
        <v>1307</v>
      </c>
      <c r="B13" s="343" t="s">
        <v>1308</v>
      </c>
      <c r="C13" s="343" t="s">
        <v>1322</v>
      </c>
      <c r="D13" s="343" t="s">
        <v>1323</v>
      </c>
      <c r="E13" s="343" t="s">
        <v>1314</v>
      </c>
      <c r="F13" s="373" t="s">
        <v>1313</v>
      </c>
      <c r="G13" s="303"/>
      <c r="H13" s="373" t="s">
        <v>1182</v>
      </c>
      <c r="I13" s="303" t="s">
        <v>251</v>
      </c>
      <c r="J13" s="303"/>
      <c r="K13" s="304" t="s">
        <v>1324</v>
      </c>
      <c r="L13" s="303" t="s">
        <v>1325</v>
      </c>
      <c r="M13" s="303"/>
      <c r="N13" s="305"/>
      <c r="O13" s="475" t="s">
        <v>1303</v>
      </c>
      <c r="P13" s="303"/>
      <c r="Q13" s="373" t="s">
        <v>1304</v>
      </c>
      <c r="R13" s="362" t="s">
        <v>1188</v>
      </c>
      <c r="S13" s="347" t="s">
        <v>1309</v>
      </c>
      <c r="T13" s="117"/>
    </row>
    <row r="14" spans="1:20" ht="20" customHeight="1">
      <c r="A14" s="377"/>
      <c r="B14" s="369"/>
      <c r="C14" s="369"/>
      <c r="D14" s="369"/>
      <c r="E14" s="369"/>
      <c r="F14" s="374"/>
      <c r="G14" s="2"/>
      <c r="H14" s="374"/>
      <c r="I14" s="2" t="s">
        <v>1305</v>
      </c>
      <c r="J14" s="2"/>
      <c r="K14" s="306" t="s">
        <v>1326</v>
      </c>
      <c r="L14" s="2" t="s">
        <v>1327</v>
      </c>
      <c r="M14" s="2"/>
      <c r="N14" s="307">
        <v>2.5000000000000001E-2</v>
      </c>
      <c r="O14" s="478"/>
      <c r="P14" s="2"/>
      <c r="Q14" s="374"/>
      <c r="R14" s="363"/>
      <c r="S14" s="372"/>
      <c r="T14" s="117"/>
    </row>
    <row r="15" spans="1:20" ht="20" customHeight="1" thickBot="1">
      <c r="A15" s="378"/>
      <c r="B15" s="344"/>
      <c r="C15" s="344"/>
      <c r="D15" s="344"/>
      <c r="E15" s="344"/>
      <c r="F15" s="375"/>
      <c r="G15" s="270"/>
      <c r="H15" s="375"/>
      <c r="I15" s="270" t="s">
        <v>1</v>
      </c>
      <c r="J15" s="284"/>
      <c r="K15" s="269" t="s">
        <v>1328</v>
      </c>
      <c r="L15" s="270" t="s">
        <v>1329</v>
      </c>
      <c r="M15" s="270"/>
      <c r="N15" s="272"/>
      <c r="O15" s="476"/>
      <c r="P15" s="284"/>
      <c r="Q15" s="375"/>
      <c r="R15" s="395"/>
      <c r="S15" s="348"/>
      <c r="T15" s="117"/>
    </row>
    <row r="16" spans="1:20" ht="20" customHeight="1">
      <c r="A16" s="376" t="s">
        <v>1306</v>
      </c>
      <c r="B16" s="373" t="s">
        <v>1276</v>
      </c>
      <c r="C16" s="373" t="s">
        <v>1285</v>
      </c>
      <c r="D16" s="373" t="s">
        <v>1284</v>
      </c>
      <c r="E16" s="373" t="s">
        <v>1283</v>
      </c>
      <c r="F16" s="373" t="s">
        <v>1287</v>
      </c>
      <c r="G16" s="260"/>
      <c r="H16" s="373" t="s">
        <v>1286</v>
      </c>
      <c r="I16" s="260" t="s">
        <v>251</v>
      </c>
      <c r="J16" s="261"/>
      <c r="K16" s="259" t="s">
        <v>1297</v>
      </c>
      <c r="L16" s="260" t="s">
        <v>1297</v>
      </c>
      <c r="M16" s="260"/>
      <c r="N16" s="262"/>
      <c r="O16" s="475" t="s">
        <v>1026</v>
      </c>
      <c r="P16" s="278"/>
      <c r="Q16" s="356" t="s">
        <v>1114</v>
      </c>
      <c r="R16" s="362" t="s">
        <v>1187</v>
      </c>
      <c r="S16" s="347" t="s">
        <v>1279</v>
      </c>
      <c r="T16" s="117"/>
    </row>
    <row r="17" spans="1:20" ht="25" customHeight="1">
      <c r="A17" s="377"/>
      <c r="B17" s="374"/>
      <c r="C17" s="374"/>
      <c r="D17" s="374"/>
      <c r="E17" s="374"/>
      <c r="F17" s="374"/>
      <c r="G17" s="110"/>
      <c r="H17" s="374"/>
      <c r="I17" s="110" t="s">
        <v>2</v>
      </c>
      <c r="J17" s="117"/>
      <c r="K17" s="265" t="s">
        <v>1293</v>
      </c>
      <c r="L17" s="110" t="s">
        <v>1300</v>
      </c>
      <c r="M17" s="110"/>
      <c r="N17" s="267"/>
      <c r="O17" s="478"/>
      <c r="P17" s="115"/>
      <c r="Q17" s="357"/>
      <c r="R17" s="363"/>
      <c r="S17" s="372"/>
      <c r="T17" s="80"/>
    </row>
    <row r="18" spans="1:20" ht="26" customHeight="1">
      <c r="A18" s="377"/>
      <c r="B18" s="374"/>
      <c r="C18" s="374"/>
      <c r="D18" s="374"/>
      <c r="E18" s="374"/>
      <c r="F18" s="374"/>
      <c r="G18" s="110"/>
      <c r="H18" s="374"/>
      <c r="I18" s="110" t="s">
        <v>1277</v>
      </c>
      <c r="J18" s="117"/>
      <c r="K18" s="265" t="s">
        <v>1299</v>
      </c>
      <c r="L18" s="110" t="s">
        <v>1302</v>
      </c>
      <c r="M18" s="110"/>
      <c r="N18" s="267"/>
      <c r="O18" s="478"/>
      <c r="P18" s="115"/>
      <c r="Q18" s="357"/>
      <c r="R18" s="363"/>
      <c r="S18" s="372"/>
      <c r="T18" s="80"/>
    </row>
    <row r="19" spans="1:20" ht="26" customHeight="1">
      <c r="A19" s="377"/>
      <c r="B19" s="374"/>
      <c r="C19" s="374"/>
      <c r="D19" s="374"/>
      <c r="E19" s="374"/>
      <c r="F19" s="374"/>
      <c r="G19" s="110"/>
      <c r="H19" s="374"/>
      <c r="I19" s="110" t="s">
        <v>98</v>
      </c>
      <c r="J19" s="117"/>
      <c r="K19" s="265" t="s">
        <v>1296</v>
      </c>
      <c r="L19" s="110" t="s">
        <v>1428</v>
      </c>
      <c r="M19" s="110"/>
      <c r="N19" s="267"/>
      <c r="O19" s="478"/>
      <c r="P19" s="115"/>
      <c r="Q19" s="357"/>
      <c r="R19" s="363"/>
      <c r="S19" s="372"/>
      <c r="T19" s="80"/>
    </row>
    <row r="20" spans="1:20" ht="44" customHeight="1">
      <c r="A20" s="377"/>
      <c r="B20" s="374"/>
      <c r="C20" s="374"/>
      <c r="D20" s="374"/>
      <c r="E20" s="374"/>
      <c r="F20" s="374"/>
      <c r="G20" s="110"/>
      <c r="H20" s="374"/>
      <c r="I20" s="110" t="s">
        <v>1278</v>
      </c>
      <c r="J20" s="117"/>
      <c r="K20" s="265" t="s">
        <v>1295</v>
      </c>
      <c r="L20" s="110" t="s">
        <v>1430</v>
      </c>
      <c r="M20" s="110"/>
      <c r="N20" s="267"/>
      <c r="O20" s="478"/>
      <c r="P20" s="115"/>
      <c r="Q20" s="357"/>
      <c r="R20" s="363"/>
      <c r="S20" s="372"/>
      <c r="T20" s="80"/>
    </row>
    <row r="21" spans="1:20" ht="41" customHeight="1" thickBot="1">
      <c r="A21" s="378"/>
      <c r="B21" s="375"/>
      <c r="C21" s="375"/>
      <c r="D21" s="375"/>
      <c r="E21" s="375"/>
      <c r="F21" s="375"/>
      <c r="G21" s="270"/>
      <c r="H21" s="375"/>
      <c r="I21" s="270" t="s">
        <v>1</v>
      </c>
      <c r="J21" s="271"/>
      <c r="K21" s="269" t="s">
        <v>1294</v>
      </c>
      <c r="L21" s="270" t="s">
        <v>1301</v>
      </c>
      <c r="M21" s="270"/>
      <c r="N21" s="272"/>
      <c r="O21" s="476"/>
      <c r="P21" s="285"/>
      <c r="Q21" s="358"/>
      <c r="R21" s="395"/>
      <c r="S21" s="348"/>
      <c r="T21" s="80"/>
    </row>
    <row r="22" spans="1:20" ht="47" customHeight="1">
      <c r="A22" s="376" t="s">
        <v>1257</v>
      </c>
      <c r="B22" s="373" t="s">
        <v>1240</v>
      </c>
      <c r="C22" s="373" t="s">
        <v>1273</v>
      </c>
      <c r="D22" s="477" t="s">
        <v>1274</v>
      </c>
      <c r="E22" s="373" t="s">
        <v>1275</v>
      </c>
      <c r="F22" s="373" t="s">
        <v>1249</v>
      </c>
      <c r="G22" s="260"/>
      <c r="H22" s="373" t="s">
        <v>1182</v>
      </c>
      <c r="I22" s="260" t="s">
        <v>97</v>
      </c>
      <c r="J22" s="303"/>
      <c r="K22" s="259" t="s">
        <v>1265</v>
      </c>
      <c r="L22" s="260" t="s">
        <v>1270</v>
      </c>
      <c r="M22" s="260"/>
      <c r="N22" s="262">
        <v>0.27100000000000002</v>
      </c>
      <c r="O22" s="475" t="s">
        <v>1241</v>
      </c>
      <c r="P22" s="82"/>
      <c r="Q22" s="343" t="s">
        <v>1114</v>
      </c>
      <c r="R22" s="362" t="s">
        <v>1258</v>
      </c>
      <c r="S22" s="347" t="s">
        <v>1259</v>
      </c>
      <c r="T22" s="80"/>
    </row>
    <row r="23" spans="1:20" ht="28" customHeight="1" thickBot="1">
      <c r="A23" s="378"/>
      <c r="B23" s="375"/>
      <c r="C23" s="375"/>
      <c r="D23" s="375"/>
      <c r="E23" s="375"/>
      <c r="F23" s="375"/>
      <c r="G23" s="270"/>
      <c r="H23" s="375"/>
      <c r="I23" s="270" t="s">
        <v>1239</v>
      </c>
      <c r="J23" s="271"/>
      <c r="K23" s="269" t="s">
        <v>1271</v>
      </c>
      <c r="L23" s="270" t="s">
        <v>1272</v>
      </c>
      <c r="M23" s="270"/>
      <c r="N23" s="272">
        <v>0.17100000000000001</v>
      </c>
      <c r="O23" s="476"/>
      <c r="P23" s="285"/>
      <c r="Q23" s="344"/>
      <c r="R23" s="395"/>
      <c r="S23" s="348"/>
      <c r="T23" s="80"/>
    </row>
    <row r="24" spans="1:20" ht="27" customHeight="1">
      <c r="A24" s="376" t="s">
        <v>1013</v>
      </c>
      <c r="B24" s="373" t="s">
        <v>926</v>
      </c>
      <c r="C24" s="373" t="s">
        <v>1105</v>
      </c>
      <c r="D24" s="373" t="s">
        <v>1133</v>
      </c>
      <c r="E24" s="373" t="s">
        <v>1132</v>
      </c>
      <c r="F24" s="373" t="s">
        <v>932</v>
      </c>
      <c r="G24" s="260"/>
      <c r="H24" s="373" t="s">
        <v>904</v>
      </c>
      <c r="I24" s="260" t="s">
        <v>5</v>
      </c>
      <c r="J24" s="303" t="s">
        <v>675</v>
      </c>
      <c r="K24" s="259" t="s">
        <v>632</v>
      </c>
      <c r="L24" s="260" t="s">
        <v>930</v>
      </c>
      <c r="M24" s="260" t="s">
        <v>386</v>
      </c>
      <c r="N24" s="262">
        <v>0.11</v>
      </c>
      <c r="O24" s="475" t="s">
        <v>1134</v>
      </c>
      <c r="P24" s="82" t="s">
        <v>663</v>
      </c>
      <c r="Q24" s="343" t="s">
        <v>1135</v>
      </c>
      <c r="R24" s="370" t="s">
        <v>925</v>
      </c>
      <c r="S24" s="347" t="s">
        <v>1017</v>
      </c>
      <c r="T24" s="80"/>
    </row>
    <row r="25" spans="1:20" ht="29" customHeight="1" thickBot="1">
      <c r="A25" s="377"/>
      <c r="B25" s="374"/>
      <c r="C25" s="374"/>
      <c r="D25" s="374"/>
      <c r="E25" s="374"/>
      <c r="F25" s="374"/>
      <c r="G25" s="110"/>
      <c r="H25" s="374"/>
      <c r="I25" s="110" t="s">
        <v>251</v>
      </c>
      <c r="J25" s="2" t="s">
        <v>675</v>
      </c>
      <c r="K25" s="265" t="s">
        <v>633</v>
      </c>
      <c r="L25" s="110" t="s">
        <v>931</v>
      </c>
      <c r="M25" s="110" t="s">
        <v>387</v>
      </c>
      <c r="N25" s="267">
        <v>0.44</v>
      </c>
      <c r="O25" s="478"/>
      <c r="P25" s="80" t="s">
        <v>663</v>
      </c>
      <c r="Q25" s="369"/>
      <c r="R25" s="408"/>
      <c r="S25" s="372"/>
      <c r="T25" s="80"/>
    </row>
    <row r="26" spans="1:20" ht="52" customHeight="1">
      <c r="A26" s="376" t="s">
        <v>1242</v>
      </c>
      <c r="B26" s="373" t="s">
        <v>1240</v>
      </c>
      <c r="C26" s="373" t="s">
        <v>1246</v>
      </c>
      <c r="D26" s="477" t="s">
        <v>1247</v>
      </c>
      <c r="E26" s="373" t="s">
        <v>1248</v>
      </c>
      <c r="F26" s="373" t="s">
        <v>1249</v>
      </c>
      <c r="G26" s="260"/>
      <c r="H26" s="373" t="s">
        <v>924</v>
      </c>
      <c r="I26" s="260" t="s">
        <v>97</v>
      </c>
      <c r="J26" s="303"/>
      <c r="K26" s="259" t="s">
        <v>1252</v>
      </c>
      <c r="L26" s="260" t="s">
        <v>1255</v>
      </c>
      <c r="M26" s="260"/>
      <c r="N26" s="262"/>
      <c r="O26" s="475" t="s">
        <v>1241</v>
      </c>
      <c r="P26" s="82"/>
      <c r="Q26" s="343" t="s">
        <v>1114</v>
      </c>
      <c r="R26" s="362" t="s">
        <v>1186</v>
      </c>
      <c r="S26" s="347" t="s">
        <v>1260</v>
      </c>
      <c r="T26" s="80"/>
    </row>
    <row r="27" spans="1:20" ht="71" customHeight="1" thickBot="1">
      <c r="A27" s="377"/>
      <c r="B27" s="374"/>
      <c r="C27" s="374"/>
      <c r="D27" s="374"/>
      <c r="E27" s="374"/>
      <c r="F27" s="374"/>
      <c r="G27" s="110"/>
      <c r="H27" s="374"/>
      <c r="I27" s="110" t="s">
        <v>1239</v>
      </c>
      <c r="J27" s="271"/>
      <c r="K27" s="265" t="s">
        <v>1254</v>
      </c>
      <c r="L27" s="110" t="s">
        <v>1256</v>
      </c>
      <c r="M27" s="110"/>
      <c r="N27" s="267"/>
      <c r="O27" s="476"/>
      <c r="P27" s="285"/>
      <c r="Q27" s="344"/>
      <c r="R27" s="395"/>
      <c r="S27" s="348"/>
      <c r="T27" s="80"/>
    </row>
    <row r="28" spans="1:20" ht="71" customHeight="1" thickBot="1">
      <c r="A28" s="376" t="s">
        <v>1082</v>
      </c>
      <c r="B28" s="373" t="s">
        <v>1345</v>
      </c>
      <c r="C28" s="373" t="s">
        <v>1105</v>
      </c>
      <c r="D28" s="415" t="s">
        <v>1348</v>
      </c>
      <c r="E28" s="373" t="s">
        <v>1347</v>
      </c>
      <c r="F28" s="373" t="s">
        <v>1346</v>
      </c>
      <c r="G28" s="260"/>
      <c r="H28" s="373" t="s">
        <v>904</v>
      </c>
      <c r="I28" s="262" t="s">
        <v>251</v>
      </c>
      <c r="J28" s="271"/>
      <c r="K28" s="259" t="s">
        <v>1350</v>
      </c>
      <c r="L28" s="260" t="s">
        <v>1351</v>
      </c>
      <c r="M28" s="260"/>
      <c r="N28" s="262"/>
      <c r="O28" s="475" t="s">
        <v>1026</v>
      </c>
      <c r="P28" s="285"/>
      <c r="Q28" s="343" t="s">
        <v>1114</v>
      </c>
      <c r="R28" s="362" t="s">
        <v>1349</v>
      </c>
      <c r="S28" s="347" t="s">
        <v>1083</v>
      </c>
      <c r="T28" s="80"/>
    </row>
    <row r="29" spans="1:20" ht="71" customHeight="1" thickBot="1">
      <c r="A29" s="378"/>
      <c r="B29" s="375"/>
      <c r="C29" s="375"/>
      <c r="D29" s="375"/>
      <c r="E29" s="375"/>
      <c r="F29" s="375"/>
      <c r="G29" s="270"/>
      <c r="H29" s="375"/>
      <c r="I29" s="272" t="s">
        <v>4</v>
      </c>
      <c r="J29" s="271"/>
      <c r="K29" s="269" t="s">
        <v>1352</v>
      </c>
      <c r="L29" s="270" t="s">
        <v>1353</v>
      </c>
      <c r="M29" s="270"/>
      <c r="N29" s="272"/>
      <c r="O29" s="476"/>
      <c r="P29" s="285"/>
      <c r="Q29" s="344"/>
      <c r="R29" s="395"/>
      <c r="S29" s="348"/>
      <c r="T29" s="80"/>
    </row>
    <row r="30" spans="1:20" ht="49" customHeight="1" thickBot="1">
      <c r="A30" s="269" t="s">
        <v>1228</v>
      </c>
      <c r="B30" s="270" t="s">
        <v>937</v>
      </c>
      <c r="C30" s="270" t="s">
        <v>1235</v>
      </c>
      <c r="D30" s="270" t="s">
        <v>1234</v>
      </c>
      <c r="E30" s="270" t="s">
        <v>1233</v>
      </c>
      <c r="F30" s="270" t="s">
        <v>1431</v>
      </c>
      <c r="G30" s="270"/>
      <c r="H30" s="270" t="s">
        <v>924</v>
      </c>
      <c r="I30" s="270" t="s">
        <v>4</v>
      </c>
      <c r="J30" s="271"/>
      <c r="K30" s="269" t="s">
        <v>1236</v>
      </c>
      <c r="L30" s="270" t="s">
        <v>1237</v>
      </c>
      <c r="M30" s="270"/>
      <c r="N30" s="272"/>
      <c r="O30" s="273" t="s">
        <v>1026</v>
      </c>
      <c r="P30" s="285"/>
      <c r="Q30" s="284" t="s">
        <v>1114</v>
      </c>
      <c r="R30" s="275" t="s">
        <v>1185</v>
      </c>
      <c r="S30" s="281" t="s">
        <v>1229</v>
      </c>
      <c r="T30" s="110"/>
    </row>
    <row r="31" spans="1:20" ht="47" customHeight="1">
      <c r="A31" s="376" t="s">
        <v>299</v>
      </c>
      <c r="B31" s="373" t="s">
        <v>937</v>
      </c>
      <c r="C31" s="373" t="s">
        <v>1106</v>
      </c>
      <c r="D31" s="373" t="s">
        <v>1139</v>
      </c>
      <c r="E31" s="373" t="s">
        <v>1138</v>
      </c>
      <c r="F31" s="373" t="s">
        <v>938</v>
      </c>
      <c r="G31" s="260"/>
      <c r="H31" s="373" t="s">
        <v>924</v>
      </c>
      <c r="I31" s="260" t="s">
        <v>251</v>
      </c>
      <c r="J31" s="61" t="s">
        <v>686</v>
      </c>
      <c r="K31" s="286" t="s">
        <v>507</v>
      </c>
      <c r="L31" s="260" t="s">
        <v>514</v>
      </c>
      <c r="M31" s="260" t="s">
        <v>394</v>
      </c>
      <c r="N31" s="262">
        <v>0.245</v>
      </c>
      <c r="O31" s="475" t="s">
        <v>1026</v>
      </c>
      <c r="P31" s="82" t="s">
        <v>663</v>
      </c>
      <c r="Q31" s="343" t="s">
        <v>1114</v>
      </c>
      <c r="R31" s="370" t="s">
        <v>935</v>
      </c>
      <c r="S31" s="414" t="s">
        <v>1018</v>
      </c>
      <c r="T31" s="110"/>
    </row>
    <row r="32" spans="1:20" ht="17" customHeight="1">
      <c r="A32" s="377"/>
      <c r="B32" s="374"/>
      <c r="C32" s="374"/>
      <c r="D32" s="374"/>
      <c r="E32" s="374"/>
      <c r="F32" s="374"/>
      <c r="G32" s="110"/>
      <c r="H32" s="374"/>
      <c r="I32" s="110" t="s">
        <v>2</v>
      </c>
      <c r="J32" s="25" t="s">
        <v>686</v>
      </c>
      <c r="K32" s="265" t="s">
        <v>508</v>
      </c>
      <c r="L32" s="110" t="s">
        <v>515</v>
      </c>
      <c r="M32" s="110" t="s">
        <v>378</v>
      </c>
      <c r="N32" s="267">
        <v>0.45600000000000002</v>
      </c>
      <c r="O32" s="478"/>
      <c r="P32" s="80" t="s">
        <v>663</v>
      </c>
      <c r="Q32" s="369"/>
      <c r="R32" s="408"/>
      <c r="S32" s="372"/>
      <c r="T32" s="110"/>
    </row>
    <row r="33" spans="1:20" ht="32" customHeight="1">
      <c r="A33" s="377"/>
      <c r="B33" s="374"/>
      <c r="C33" s="374"/>
      <c r="D33" s="374" t="s">
        <v>1133</v>
      </c>
      <c r="E33" s="374"/>
      <c r="F33" s="374"/>
      <c r="G33" s="110"/>
      <c r="H33" s="374"/>
      <c r="I33" s="110" t="s">
        <v>300</v>
      </c>
      <c r="J33" s="25" t="s">
        <v>686</v>
      </c>
      <c r="K33" s="265" t="s">
        <v>509</v>
      </c>
      <c r="L33" s="110" t="s">
        <v>516</v>
      </c>
      <c r="M33" s="266" t="s">
        <v>379</v>
      </c>
      <c r="N33" s="267">
        <v>0.93400000000000005</v>
      </c>
      <c r="O33" s="478"/>
      <c r="P33" s="80" t="s">
        <v>663</v>
      </c>
      <c r="Q33" s="369"/>
      <c r="R33" s="408"/>
      <c r="S33" s="372"/>
      <c r="T33" s="110"/>
    </row>
    <row r="34" spans="1:20" ht="47" customHeight="1">
      <c r="A34" s="377"/>
      <c r="B34" s="374"/>
      <c r="C34" s="374"/>
      <c r="D34" s="374"/>
      <c r="E34" s="374"/>
      <c r="F34" s="374"/>
      <c r="G34" s="110"/>
      <c r="H34" s="374"/>
      <c r="I34" s="110" t="s">
        <v>301</v>
      </c>
      <c r="J34" s="25" t="s">
        <v>686</v>
      </c>
      <c r="K34" s="265" t="s">
        <v>510</v>
      </c>
      <c r="L34" s="110" t="s">
        <v>517</v>
      </c>
      <c r="M34" s="110" t="s">
        <v>395</v>
      </c>
      <c r="N34" s="267">
        <v>0.38500000000000001</v>
      </c>
      <c r="O34" s="478"/>
      <c r="P34" s="80" t="s">
        <v>663</v>
      </c>
      <c r="Q34" s="369"/>
      <c r="R34" s="408"/>
      <c r="S34" s="372"/>
      <c r="T34" s="110"/>
    </row>
    <row r="35" spans="1:20" ht="31" customHeight="1">
      <c r="A35" s="377"/>
      <c r="B35" s="374"/>
      <c r="C35" s="374"/>
      <c r="D35" s="374" t="s">
        <v>1133</v>
      </c>
      <c r="E35" s="374"/>
      <c r="F35" s="374"/>
      <c r="G35" s="110"/>
      <c r="H35" s="374"/>
      <c r="I35" s="110" t="s">
        <v>1</v>
      </c>
      <c r="J35" s="25" t="s">
        <v>686</v>
      </c>
      <c r="K35" s="265" t="s">
        <v>512</v>
      </c>
      <c r="L35" s="110" t="s">
        <v>519</v>
      </c>
      <c r="M35" s="110" t="s">
        <v>397</v>
      </c>
      <c r="N35" s="267">
        <v>0.35699999999999998</v>
      </c>
      <c r="O35" s="478"/>
      <c r="P35" s="80" t="s">
        <v>663</v>
      </c>
      <c r="Q35" s="369"/>
      <c r="R35" s="408"/>
      <c r="S35" s="372"/>
      <c r="T35" s="110"/>
    </row>
    <row r="36" spans="1:20" ht="41" customHeight="1" thickBot="1">
      <c r="A36" s="378"/>
      <c r="B36" s="375"/>
      <c r="C36" s="375"/>
      <c r="D36" s="375"/>
      <c r="E36" s="375"/>
      <c r="F36" s="375"/>
      <c r="G36" s="270"/>
      <c r="H36" s="375"/>
      <c r="I36" s="270" t="s">
        <v>5</v>
      </c>
      <c r="J36" s="62" t="s">
        <v>686</v>
      </c>
      <c r="K36" s="269" t="s">
        <v>513</v>
      </c>
      <c r="L36" s="270" t="s">
        <v>520</v>
      </c>
      <c r="M36" s="270" t="s">
        <v>383</v>
      </c>
      <c r="N36" s="272">
        <v>0.23</v>
      </c>
      <c r="O36" s="476"/>
      <c r="P36" s="83" t="s">
        <v>663</v>
      </c>
      <c r="Q36" s="344"/>
      <c r="R36" s="413"/>
      <c r="S36" s="348"/>
      <c r="T36" s="110"/>
    </row>
    <row r="37" spans="1:20" ht="18" customHeight="1">
      <c r="A37" s="376" t="s">
        <v>987</v>
      </c>
      <c r="B37" s="373" t="s">
        <v>926</v>
      </c>
      <c r="C37" s="373" t="s">
        <v>1107</v>
      </c>
      <c r="D37" s="373" t="s">
        <v>1144</v>
      </c>
      <c r="E37" s="373" t="s">
        <v>1143</v>
      </c>
      <c r="F37" s="373" t="s">
        <v>988</v>
      </c>
      <c r="G37" s="260"/>
      <c r="H37" s="373" t="s">
        <v>904</v>
      </c>
      <c r="I37" s="260" t="s">
        <v>4</v>
      </c>
      <c r="J37" s="279"/>
      <c r="K37" s="259" t="s">
        <v>1432</v>
      </c>
      <c r="L37" s="260" t="s">
        <v>1434</v>
      </c>
      <c r="M37" s="260"/>
      <c r="N37" s="262">
        <v>0.03</v>
      </c>
      <c r="O37" s="475" t="s">
        <v>1026</v>
      </c>
      <c r="P37" s="278" t="s">
        <v>469</v>
      </c>
      <c r="Q37" s="356" t="s">
        <v>1114</v>
      </c>
      <c r="R37" s="362" t="s">
        <v>993</v>
      </c>
      <c r="S37" s="411" t="s">
        <v>994</v>
      </c>
      <c r="T37" s="110"/>
    </row>
    <row r="38" spans="1:20" ht="46" customHeight="1" thickBot="1">
      <c r="A38" s="378"/>
      <c r="B38" s="375"/>
      <c r="C38" s="375"/>
      <c r="D38" s="375"/>
      <c r="E38" s="375"/>
      <c r="F38" s="375"/>
      <c r="G38" s="270"/>
      <c r="H38" s="375"/>
      <c r="I38" s="270" t="s">
        <v>98</v>
      </c>
      <c r="J38" s="284"/>
      <c r="K38" s="269" t="s">
        <v>1433</v>
      </c>
      <c r="L38" s="270" t="s">
        <v>1435</v>
      </c>
      <c r="M38" s="270"/>
      <c r="N38" s="272">
        <v>0.85</v>
      </c>
      <c r="O38" s="476"/>
      <c r="P38" s="285" t="s">
        <v>469</v>
      </c>
      <c r="Q38" s="358"/>
      <c r="R38" s="395"/>
      <c r="S38" s="412"/>
      <c r="T38" s="110"/>
    </row>
    <row r="39" spans="1:20" ht="50" customHeight="1">
      <c r="A39" s="382" t="s">
        <v>270</v>
      </c>
      <c r="B39" s="373" t="s">
        <v>1028</v>
      </c>
      <c r="C39" s="373" t="s">
        <v>1108</v>
      </c>
      <c r="D39" s="373" t="s">
        <v>1145</v>
      </c>
      <c r="E39" s="373" t="s">
        <v>1148</v>
      </c>
      <c r="F39" s="373" t="s">
        <v>922</v>
      </c>
      <c r="G39" s="287"/>
      <c r="H39" s="373" t="s">
        <v>924</v>
      </c>
      <c r="I39" s="279" t="s">
        <v>97</v>
      </c>
      <c r="J39" s="61" t="s">
        <v>686</v>
      </c>
      <c r="K39" s="259" t="s">
        <v>641</v>
      </c>
      <c r="L39" s="260" t="s">
        <v>645</v>
      </c>
      <c r="M39" s="260" t="s">
        <v>373</v>
      </c>
      <c r="N39" s="280">
        <v>1</v>
      </c>
      <c r="O39" s="475" t="s">
        <v>1150</v>
      </c>
      <c r="P39" s="82" t="s">
        <v>482</v>
      </c>
      <c r="Q39" s="343" t="s">
        <v>1114</v>
      </c>
      <c r="R39" s="370" t="s">
        <v>923</v>
      </c>
      <c r="S39" s="347" t="s">
        <v>1020</v>
      </c>
      <c r="T39" s="110"/>
    </row>
    <row r="40" spans="1:20" ht="26" customHeight="1" thickBot="1">
      <c r="A40" s="383"/>
      <c r="B40" s="374"/>
      <c r="C40" s="374"/>
      <c r="D40" s="374"/>
      <c r="E40" s="374"/>
      <c r="F40" s="374"/>
      <c r="G40" s="289"/>
      <c r="H40" s="374"/>
      <c r="I40" s="283" t="s">
        <v>5</v>
      </c>
      <c r="J40" s="25" t="s">
        <v>686</v>
      </c>
      <c r="K40" s="265" t="s">
        <v>643</v>
      </c>
      <c r="L40" s="110" t="s">
        <v>647</v>
      </c>
      <c r="M40" s="110" t="s">
        <v>383</v>
      </c>
      <c r="N40" s="282">
        <v>1</v>
      </c>
      <c r="O40" s="489"/>
      <c r="P40" s="80" t="s">
        <v>482</v>
      </c>
      <c r="Q40" s="369"/>
      <c r="R40" s="371"/>
      <c r="S40" s="372"/>
      <c r="T40" s="115"/>
    </row>
    <row r="41" spans="1:20" ht="51">
      <c r="A41" s="382" t="s">
        <v>286</v>
      </c>
      <c r="B41" s="356" t="s">
        <v>1098</v>
      </c>
      <c r="C41" s="356" t="s">
        <v>1097</v>
      </c>
      <c r="D41" s="356" t="s">
        <v>1210</v>
      </c>
      <c r="E41" s="373" t="s">
        <v>1209</v>
      </c>
      <c r="F41" s="373" t="s">
        <v>1207</v>
      </c>
      <c r="G41" s="260"/>
      <c r="H41" s="373" t="s">
        <v>939</v>
      </c>
      <c r="I41" s="279" t="s">
        <v>2</v>
      </c>
      <c r="J41" s="61"/>
      <c r="K41" s="259" t="s">
        <v>521</v>
      </c>
      <c r="L41" s="260" t="s">
        <v>531</v>
      </c>
      <c r="M41" s="260" t="s">
        <v>378</v>
      </c>
      <c r="N41" s="280" t="s">
        <v>290</v>
      </c>
      <c r="O41" s="475" t="s">
        <v>1208</v>
      </c>
      <c r="P41" s="84" t="s">
        <v>728</v>
      </c>
      <c r="Q41" s="405" t="s">
        <v>1114</v>
      </c>
      <c r="R41" s="370" t="s">
        <v>934</v>
      </c>
      <c r="S41" s="396" t="s">
        <v>933</v>
      </c>
      <c r="T41" s="115"/>
    </row>
    <row r="42" spans="1:20" ht="30" customHeight="1">
      <c r="A42" s="383"/>
      <c r="B42" s="357"/>
      <c r="C42" s="357"/>
      <c r="D42" s="357"/>
      <c r="E42" s="374"/>
      <c r="F42" s="374"/>
      <c r="G42" s="110"/>
      <c r="H42" s="374"/>
      <c r="I42" s="283" t="s">
        <v>3</v>
      </c>
      <c r="J42" s="25"/>
      <c r="K42" s="265" t="s">
        <v>522</v>
      </c>
      <c r="L42" s="110" t="s">
        <v>532</v>
      </c>
      <c r="M42" s="110" t="s">
        <v>400</v>
      </c>
      <c r="N42" s="282" t="s">
        <v>291</v>
      </c>
      <c r="O42" s="478"/>
      <c r="P42" s="81" t="s">
        <v>728</v>
      </c>
      <c r="Q42" s="406"/>
      <c r="R42" s="408"/>
      <c r="S42" s="409"/>
      <c r="T42" s="115"/>
    </row>
    <row r="43" spans="1:20" ht="27" customHeight="1">
      <c r="A43" s="383"/>
      <c r="B43" s="357"/>
      <c r="C43" s="357"/>
      <c r="D43" s="357"/>
      <c r="E43" s="374"/>
      <c r="F43" s="374"/>
      <c r="G43" s="110"/>
      <c r="H43" s="374"/>
      <c r="I43" s="283" t="s">
        <v>117</v>
      </c>
      <c r="J43" s="25"/>
      <c r="K43" s="265" t="s">
        <v>523</v>
      </c>
      <c r="L43" s="110" t="s">
        <v>533</v>
      </c>
      <c r="M43" s="110" t="s">
        <v>401</v>
      </c>
      <c r="N43" s="282" t="s">
        <v>292</v>
      </c>
      <c r="O43" s="478"/>
      <c r="P43" s="81" t="s">
        <v>728</v>
      </c>
      <c r="Q43" s="406"/>
      <c r="R43" s="408"/>
      <c r="S43" s="409"/>
      <c r="T43" s="115"/>
    </row>
    <row r="44" spans="1:20" ht="30" customHeight="1">
      <c r="A44" s="383"/>
      <c r="B44" s="357"/>
      <c r="C44" s="357"/>
      <c r="D44" s="357"/>
      <c r="E44" s="374"/>
      <c r="F44" s="374"/>
      <c r="G44" s="110"/>
      <c r="H44" s="374"/>
      <c r="I44" s="283" t="s">
        <v>98</v>
      </c>
      <c r="J44" s="25"/>
      <c r="K44" s="265" t="s">
        <v>524</v>
      </c>
      <c r="L44" s="110" t="s">
        <v>534</v>
      </c>
      <c r="M44" s="110" t="s">
        <v>395</v>
      </c>
      <c r="N44" s="282" t="s">
        <v>259</v>
      </c>
      <c r="O44" s="478"/>
      <c r="P44" s="81" t="s">
        <v>728</v>
      </c>
      <c r="Q44" s="406"/>
      <c r="R44" s="408"/>
      <c r="S44" s="409"/>
      <c r="T44" s="115"/>
    </row>
    <row r="45" spans="1:20" ht="25" customHeight="1">
      <c r="A45" s="383"/>
      <c r="B45" s="357"/>
      <c r="C45" s="357"/>
      <c r="D45" s="357"/>
      <c r="E45" s="374"/>
      <c r="F45" s="374"/>
      <c r="G45" s="110"/>
      <c r="H45" s="374"/>
      <c r="I45" s="283" t="s">
        <v>287</v>
      </c>
      <c r="J45" s="25"/>
      <c r="K45" s="265" t="s">
        <v>525</v>
      </c>
      <c r="L45" s="110" t="s">
        <v>535</v>
      </c>
      <c r="M45" s="110" t="s">
        <v>382</v>
      </c>
      <c r="N45" s="282" t="s">
        <v>293</v>
      </c>
      <c r="O45" s="478"/>
      <c r="P45" s="81" t="s">
        <v>728</v>
      </c>
      <c r="Q45" s="406"/>
      <c r="R45" s="408"/>
      <c r="S45" s="409"/>
      <c r="T45" s="115"/>
    </row>
    <row r="46" spans="1:20" ht="28" customHeight="1">
      <c r="A46" s="383"/>
      <c r="B46" s="357"/>
      <c r="C46" s="357"/>
      <c r="D46" s="357"/>
      <c r="E46" s="374"/>
      <c r="F46" s="374"/>
      <c r="G46" s="110"/>
      <c r="H46" s="374"/>
      <c r="I46" s="283" t="s">
        <v>121</v>
      </c>
      <c r="J46" s="25"/>
      <c r="K46" s="265" t="s">
        <v>526</v>
      </c>
      <c r="L46" s="110" t="s">
        <v>536</v>
      </c>
      <c r="M46" s="110" t="s">
        <v>402</v>
      </c>
      <c r="N46" s="282" t="s">
        <v>294</v>
      </c>
      <c r="O46" s="478"/>
      <c r="P46" s="81" t="s">
        <v>728</v>
      </c>
      <c r="Q46" s="406"/>
      <c r="R46" s="408"/>
      <c r="S46" s="409"/>
      <c r="T46" s="115"/>
    </row>
    <row r="47" spans="1:20" ht="38" customHeight="1">
      <c r="A47" s="383"/>
      <c r="B47" s="357"/>
      <c r="C47" s="357"/>
      <c r="D47" s="357"/>
      <c r="E47" s="374"/>
      <c r="F47" s="374"/>
      <c r="G47" s="110"/>
      <c r="H47" s="374"/>
      <c r="I47" s="283" t="s">
        <v>1</v>
      </c>
      <c r="J47" s="25"/>
      <c r="K47" s="265" t="s">
        <v>528</v>
      </c>
      <c r="L47" s="110" t="s">
        <v>538</v>
      </c>
      <c r="M47" s="110" t="s">
        <v>377</v>
      </c>
      <c r="N47" s="282" t="s">
        <v>296</v>
      </c>
      <c r="O47" s="478"/>
      <c r="P47" s="81" t="s">
        <v>728</v>
      </c>
      <c r="Q47" s="406"/>
      <c r="R47" s="408"/>
      <c r="S47" s="409"/>
      <c r="T47" s="115"/>
    </row>
    <row r="48" spans="1:20" ht="35" customHeight="1" thickBot="1">
      <c r="A48" s="383"/>
      <c r="B48" s="357"/>
      <c r="C48" s="357"/>
      <c r="D48" s="358"/>
      <c r="E48" s="375"/>
      <c r="F48" s="374"/>
      <c r="G48" s="110"/>
      <c r="H48" s="375"/>
      <c r="I48" s="283" t="s">
        <v>5</v>
      </c>
      <c r="J48" s="25"/>
      <c r="K48" s="265" t="s">
        <v>529</v>
      </c>
      <c r="L48" s="110" t="s">
        <v>539</v>
      </c>
      <c r="M48" s="110" t="s">
        <v>383</v>
      </c>
      <c r="N48" s="282" t="s">
        <v>297</v>
      </c>
      <c r="O48" s="476"/>
      <c r="P48" s="81" t="s">
        <v>728</v>
      </c>
      <c r="Q48" s="407"/>
      <c r="R48" s="408"/>
      <c r="S48" s="409"/>
      <c r="T48" s="115"/>
    </row>
    <row r="49" spans="1:20" ht="68">
      <c r="A49" s="376" t="s">
        <v>41</v>
      </c>
      <c r="B49" s="373" t="s">
        <v>1096</v>
      </c>
      <c r="C49" s="373" t="s">
        <v>894</v>
      </c>
      <c r="D49" s="373" t="s">
        <v>1192</v>
      </c>
      <c r="E49" s="373" t="s">
        <v>1193</v>
      </c>
      <c r="F49" s="373" t="s">
        <v>1194</v>
      </c>
      <c r="G49" s="373" t="s">
        <v>893</v>
      </c>
      <c r="H49" s="373" t="s">
        <v>1182</v>
      </c>
      <c r="I49" s="260" t="s">
        <v>315</v>
      </c>
      <c r="J49" s="261"/>
      <c r="K49" s="259" t="s">
        <v>51</v>
      </c>
      <c r="L49" s="260" t="s">
        <v>73</v>
      </c>
      <c r="M49" s="260" t="s">
        <v>394</v>
      </c>
      <c r="N49" s="262"/>
      <c r="O49" s="475" t="s">
        <v>1190</v>
      </c>
      <c r="P49" s="278" t="s">
        <v>660</v>
      </c>
      <c r="Q49" s="356" t="s">
        <v>1191</v>
      </c>
      <c r="R49" s="362" t="s">
        <v>892</v>
      </c>
      <c r="S49" s="365" t="s">
        <v>891</v>
      </c>
      <c r="T49" s="115"/>
    </row>
    <row r="50" spans="1:20" ht="44" customHeight="1">
      <c r="A50" s="377"/>
      <c r="B50" s="374"/>
      <c r="C50" s="374"/>
      <c r="D50" s="374"/>
      <c r="E50" s="374"/>
      <c r="F50" s="374"/>
      <c r="G50" s="374"/>
      <c r="H50" s="374"/>
      <c r="I50" s="110" t="s">
        <v>300</v>
      </c>
      <c r="J50" s="117"/>
      <c r="K50" s="265" t="s">
        <v>53</v>
      </c>
      <c r="L50" s="110" t="s">
        <v>75</v>
      </c>
      <c r="M50" s="110" t="s">
        <v>428</v>
      </c>
      <c r="N50" s="267"/>
      <c r="O50" s="478"/>
      <c r="P50" s="115" t="s">
        <v>660</v>
      </c>
      <c r="Q50" s="357"/>
      <c r="R50" s="363"/>
      <c r="S50" s="367"/>
      <c r="T50" s="115"/>
    </row>
    <row r="51" spans="1:20" ht="44" customHeight="1">
      <c r="A51" s="377"/>
      <c r="B51" s="374"/>
      <c r="C51" s="374"/>
      <c r="D51" s="374"/>
      <c r="E51" s="374"/>
      <c r="F51" s="374"/>
      <c r="G51" s="374"/>
      <c r="H51" s="374"/>
      <c r="I51" s="110" t="s">
        <v>413</v>
      </c>
      <c r="J51" s="117"/>
      <c r="K51" s="265" t="s">
        <v>54</v>
      </c>
      <c r="L51" s="110" t="s">
        <v>76</v>
      </c>
      <c r="M51" s="110" t="s">
        <v>429</v>
      </c>
      <c r="N51" s="267" t="s">
        <v>86</v>
      </c>
      <c r="O51" s="478"/>
      <c r="P51" s="115" t="s">
        <v>660</v>
      </c>
      <c r="Q51" s="357"/>
      <c r="R51" s="363"/>
      <c r="S51" s="367"/>
      <c r="T51" s="115"/>
    </row>
    <row r="52" spans="1:20" ht="38" customHeight="1">
      <c r="A52" s="377"/>
      <c r="B52" s="374"/>
      <c r="C52" s="374"/>
      <c r="D52" s="374"/>
      <c r="E52" s="374"/>
      <c r="F52" s="374"/>
      <c r="G52" s="374"/>
      <c r="H52" s="374"/>
      <c r="I52" s="110" t="s">
        <v>414</v>
      </c>
      <c r="J52" s="117"/>
      <c r="K52" s="265" t="s">
        <v>55</v>
      </c>
      <c r="L52" s="110" t="s">
        <v>77</v>
      </c>
      <c r="M52" s="110" t="s">
        <v>374</v>
      </c>
      <c r="N52" s="267"/>
      <c r="O52" s="478"/>
      <c r="P52" s="115" t="s">
        <v>660</v>
      </c>
      <c r="Q52" s="357"/>
      <c r="R52" s="363"/>
      <c r="S52" s="367"/>
      <c r="T52" s="115"/>
    </row>
    <row r="53" spans="1:20" ht="39" customHeight="1">
      <c r="A53" s="377"/>
      <c r="B53" s="374"/>
      <c r="C53" s="374"/>
      <c r="D53" s="374"/>
      <c r="E53" s="374"/>
      <c r="F53" s="374"/>
      <c r="G53" s="374"/>
      <c r="H53" s="374"/>
      <c r="I53" s="110" t="s">
        <v>263</v>
      </c>
      <c r="J53" s="117"/>
      <c r="K53" s="265" t="s">
        <v>56</v>
      </c>
      <c r="L53" s="110" t="s">
        <v>78</v>
      </c>
      <c r="M53" s="110" t="s">
        <v>430</v>
      </c>
      <c r="N53" s="267"/>
      <c r="O53" s="478"/>
      <c r="P53" s="115" t="s">
        <v>660</v>
      </c>
      <c r="Q53" s="357"/>
      <c r="R53" s="363"/>
      <c r="S53" s="367"/>
      <c r="T53" s="115"/>
    </row>
    <row r="54" spans="1:20" ht="68">
      <c r="A54" s="377"/>
      <c r="B54" s="374"/>
      <c r="C54" s="374"/>
      <c r="D54" s="374"/>
      <c r="E54" s="374"/>
      <c r="F54" s="374"/>
      <c r="G54" s="374"/>
      <c r="H54" s="374"/>
      <c r="I54" s="110" t="s">
        <v>98</v>
      </c>
      <c r="J54" s="117"/>
      <c r="K54" s="265" t="s">
        <v>58</v>
      </c>
      <c r="L54" s="110" t="s">
        <v>80</v>
      </c>
      <c r="M54" s="110" t="s">
        <v>432</v>
      </c>
      <c r="N54" s="267"/>
      <c r="O54" s="478"/>
      <c r="P54" s="115" t="s">
        <v>660</v>
      </c>
      <c r="Q54" s="357"/>
      <c r="R54" s="363"/>
      <c r="S54" s="367"/>
      <c r="T54" s="115"/>
    </row>
    <row r="55" spans="1:20" ht="68">
      <c r="A55" s="377"/>
      <c r="B55" s="374"/>
      <c r="C55" s="374"/>
      <c r="D55" s="374"/>
      <c r="E55" s="374"/>
      <c r="F55" s="374"/>
      <c r="G55" s="374"/>
      <c r="H55" s="374"/>
      <c r="I55" s="110" t="s">
        <v>410</v>
      </c>
      <c r="J55" s="117"/>
      <c r="K55" s="265" t="s">
        <v>49</v>
      </c>
      <c r="L55" s="110" t="s">
        <v>71</v>
      </c>
      <c r="M55" s="110" t="s">
        <v>425</v>
      </c>
      <c r="N55" s="267" t="s">
        <v>89</v>
      </c>
      <c r="O55" s="478"/>
      <c r="P55" s="115" t="s">
        <v>660</v>
      </c>
      <c r="Q55" s="357"/>
      <c r="R55" s="363"/>
      <c r="S55" s="367"/>
      <c r="T55" s="115"/>
    </row>
    <row r="56" spans="1:20" ht="68">
      <c r="A56" s="377"/>
      <c r="B56" s="374"/>
      <c r="C56" s="374"/>
      <c r="D56" s="374"/>
      <c r="E56" s="374"/>
      <c r="F56" s="374"/>
      <c r="G56" s="374"/>
      <c r="H56" s="374"/>
      <c r="I56" s="110" t="s">
        <v>1</v>
      </c>
      <c r="J56" s="117"/>
      <c r="K56" s="265" t="s">
        <v>48</v>
      </c>
      <c r="L56" s="110" t="s">
        <v>70</v>
      </c>
      <c r="M56" s="110" t="s">
        <v>377</v>
      </c>
      <c r="N56" s="267" t="s">
        <v>88</v>
      </c>
      <c r="O56" s="478"/>
      <c r="P56" s="115" t="s">
        <v>660</v>
      </c>
      <c r="Q56" s="357"/>
      <c r="R56" s="363"/>
      <c r="S56" s="367"/>
      <c r="T56" s="115"/>
    </row>
    <row r="57" spans="1:20" ht="54" customHeight="1" thickBot="1">
      <c r="A57" s="378"/>
      <c r="B57" s="375"/>
      <c r="C57" s="375"/>
      <c r="D57" s="375"/>
      <c r="E57" s="375"/>
      <c r="F57" s="375"/>
      <c r="G57" s="375"/>
      <c r="H57" s="375"/>
      <c r="I57" s="270" t="s">
        <v>5</v>
      </c>
      <c r="J57" s="271"/>
      <c r="K57" s="269" t="s">
        <v>63</v>
      </c>
      <c r="L57" s="270" t="s">
        <v>85</v>
      </c>
      <c r="M57" s="270" t="s">
        <v>386</v>
      </c>
      <c r="N57" s="272"/>
      <c r="O57" s="476"/>
      <c r="P57" s="285" t="s">
        <v>660</v>
      </c>
      <c r="Q57" s="358"/>
      <c r="R57" s="395"/>
      <c r="S57" s="394"/>
      <c r="T57" s="115"/>
    </row>
    <row r="58" spans="1:20" ht="51">
      <c r="A58" s="376" t="s">
        <v>95</v>
      </c>
      <c r="B58" s="373" t="s">
        <v>1196</v>
      </c>
      <c r="C58" s="373" t="s">
        <v>898</v>
      </c>
      <c r="D58" s="373" t="s">
        <v>1199</v>
      </c>
      <c r="E58" s="373" t="s">
        <v>1200</v>
      </c>
      <c r="F58" s="373" t="s">
        <v>1198</v>
      </c>
      <c r="G58" s="373" t="s">
        <v>896</v>
      </c>
      <c r="H58" s="373" t="s">
        <v>897</v>
      </c>
      <c r="I58" s="260" t="s">
        <v>2</v>
      </c>
      <c r="J58" s="61"/>
      <c r="K58" s="259" t="s">
        <v>100</v>
      </c>
      <c r="L58" s="260" t="s">
        <v>106</v>
      </c>
      <c r="M58" s="260" t="s">
        <v>378</v>
      </c>
      <c r="N58" s="262" t="s">
        <v>114</v>
      </c>
      <c r="O58" s="475" t="s">
        <v>1197</v>
      </c>
      <c r="P58" s="82" t="s">
        <v>474</v>
      </c>
      <c r="Q58" s="343" t="s">
        <v>1114</v>
      </c>
      <c r="R58" s="370" t="s">
        <v>895</v>
      </c>
      <c r="S58" s="347" t="s">
        <v>1088</v>
      </c>
      <c r="T58" s="115"/>
    </row>
    <row r="59" spans="1:20" ht="41" customHeight="1">
      <c r="A59" s="377"/>
      <c r="B59" s="374"/>
      <c r="C59" s="374"/>
      <c r="D59" s="374"/>
      <c r="E59" s="374"/>
      <c r="F59" s="374"/>
      <c r="G59" s="374"/>
      <c r="H59" s="374"/>
      <c r="I59" s="110" t="s">
        <v>3</v>
      </c>
      <c r="J59" s="25"/>
      <c r="K59" s="265" t="s">
        <v>101</v>
      </c>
      <c r="L59" s="110" t="s">
        <v>107</v>
      </c>
      <c r="M59" s="110" t="s">
        <v>400</v>
      </c>
      <c r="N59" s="267" t="s">
        <v>114</v>
      </c>
      <c r="O59" s="478"/>
      <c r="P59" s="80" t="s">
        <v>474</v>
      </c>
      <c r="Q59" s="369"/>
      <c r="R59" s="371"/>
      <c r="S59" s="372"/>
      <c r="T59" s="115"/>
    </row>
    <row r="60" spans="1:20" ht="20" customHeight="1">
      <c r="A60" s="377"/>
      <c r="B60" s="374"/>
      <c r="C60" s="374"/>
      <c r="D60" s="374"/>
      <c r="E60" s="374"/>
      <c r="F60" s="374"/>
      <c r="G60" s="374"/>
      <c r="H60" s="374"/>
      <c r="I60" s="110" t="s">
        <v>4</v>
      </c>
      <c r="J60" s="25"/>
      <c r="K60" s="265" t="s">
        <v>102</v>
      </c>
      <c r="L60" s="110" t="s">
        <v>108</v>
      </c>
      <c r="M60" s="110" t="s">
        <v>438</v>
      </c>
      <c r="N60" s="267" t="s">
        <v>114</v>
      </c>
      <c r="O60" s="478"/>
      <c r="P60" s="80" t="s">
        <v>474</v>
      </c>
      <c r="Q60" s="369"/>
      <c r="R60" s="371"/>
      <c r="S60" s="372"/>
      <c r="T60" s="115"/>
    </row>
    <row r="61" spans="1:20" ht="24" customHeight="1">
      <c r="A61" s="377"/>
      <c r="B61" s="374"/>
      <c r="C61" s="374"/>
      <c r="D61" s="374"/>
      <c r="E61" s="374"/>
      <c r="F61" s="374"/>
      <c r="G61" s="374"/>
      <c r="H61" s="374"/>
      <c r="I61" s="110" t="s">
        <v>97</v>
      </c>
      <c r="J61" s="25"/>
      <c r="K61" s="265" t="s">
        <v>103</v>
      </c>
      <c r="L61" s="110" t="s">
        <v>109</v>
      </c>
      <c r="M61" s="110" t="s">
        <v>439</v>
      </c>
      <c r="N61" s="267" t="s">
        <v>115</v>
      </c>
      <c r="O61" s="478"/>
      <c r="P61" s="80" t="s">
        <v>474</v>
      </c>
      <c r="Q61" s="369"/>
      <c r="R61" s="371"/>
      <c r="S61" s="372"/>
      <c r="T61" s="115"/>
    </row>
    <row r="62" spans="1:20" ht="25" customHeight="1">
      <c r="A62" s="377"/>
      <c r="B62" s="374"/>
      <c r="C62" s="374"/>
      <c r="D62" s="374"/>
      <c r="E62" s="374"/>
      <c r="F62" s="374"/>
      <c r="G62" s="374"/>
      <c r="H62" s="374"/>
      <c r="I62" s="110" t="s">
        <v>98</v>
      </c>
      <c r="J62" s="25"/>
      <c r="K62" s="265" t="s">
        <v>1429</v>
      </c>
      <c r="L62" s="110" t="s">
        <v>110</v>
      </c>
      <c r="M62" s="110" t="s">
        <v>432</v>
      </c>
      <c r="N62" s="267" t="s">
        <v>114</v>
      </c>
      <c r="O62" s="478"/>
      <c r="P62" s="80" t="s">
        <v>474</v>
      </c>
      <c r="Q62" s="369"/>
      <c r="R62" s="371"/>
      <c r="S62" s="372"/>
      <c r="T62" s="115"/>
    </row>
    <row r="63" spans="1:20" ht="29" customHeight="1">
      <c r="A63" s="377"/>
      <c r="B63" s="374"/>
      <c r="C63" s="374"/>
      <c r="D63" s="374"/>
      <c r="E63" s="374"/>
      <c r="F63" s="374"/>
      <c r="G63" s="374"/>
      <c r="H63" s="374"/>
      <c r="I63" s="110" t="s">
        <v>5</v>
      </c>
      <c r="J63" s="25"/>
      <c r="K63" s="265" t="s">
        <v>104</v>
      </c>
      <c r="L63" s="110" t="s">
        <v>111</v>
      </c>
      <c r="M63" s="110" t="s">
        <v>386</v>
      </c>
      <c r="N63" s="267" t="s">
        <v>114</v>
      </c>
      <c r="O63" s="478"/>
      <c r="P63" s="80" t="s">
        <v>474</v>
      </c>
      <c r="Q63" s="369"/>
      <c r="R63" s="371"/>
      <c r="S63" s="372"/>
      <c r="T63" s="115"/>
    </row>
    <row r="64" spans="1:20" ht="17" customHeight="1" thickBot="1">
      <c r="A64" s="377"/>
      <c r="B64" s="374"/>
      <c r="C64" s="374"/>
      <c r="D64" s="375"/>
      <c r="E64" s="375"/>
      <c r="F64" s="374"/>
      <c r="G64" s="374"/>
      <c r="H64" s="374"/>
      <c r="I64" s="110" t="s">
        <v>1</v>
      </c>
      <c r="J64" s="25"/>
      <c r="K64" s="265" t="s">
        <v>105</v>
      </c>
      <c r="L64" s="110" t="s">
        <v>112</v>
      </c>
      <c r="M64" s="110" t="s">
        <v>397</v>
      </c>
      <c r="N64" s="267" t="s">
        <v>114</v>
      </c>
      <c r="O64" s="478"/>
      <c r="P64" s="80" t="s">
        <v>474</v>
      </c>
      <c r="Q64" s="369"/>
      <c r="R64" s="371"/>
      <c r="S64" s="372"/>
      <c r="T64" s="115"/>
    </row>
    <row r="65" spans="1:20" ht="22" customHeight="1">
      <c r="A65" s="376" t="s">
        <v>333</v>
      </c>
      <c r="B65" s="373" t="s">
        <v>1206</v>
      </c>
      <c r="C65" s="373" t="s">
        <v>1205</v>
      </c>
      <c r="D65" s="373" t="s">
        <v>1204</v>
      </c>
      <c r="E65" s="373" t="s">
        <v>1203</v>
      </c>
      <c r="F65" s="373" t="s">
        <v>1436</v>
      </c>
      <c r="G65" s="260"/>
      <c r="H65" s="373" t="s">
        <v>897</v>
      </c>
      <c r="I65" s="260" t="s">
        <v>5</v>
      </c>
      <c r="J65" s="61"/>
      <c r="K65" s="259" t="s">
        <v>335</v>
      </c>
      <c r="L65" s="260" t="s">
        <v>336</v>
      </c>
      <c r="M65" s="260" t="s">
        <v>383</v>
      </c>
      <c r="N65" s="262" t="s">
        <v>337</v>
      </c>
      <c r="O65" s="475" t="s">
        <v>1202</v>
      </c>
      <c r="P65" s="82" t="s">
        <v>475</v>
      </c>
      <c r="Q65" s="343" t="s">
        <v>1114</v>
      </c>
      <c r="R65" s="370" t="s">
        <v>1201</v>
      </c>
      <c r="S65" s="347" t="s">
        <v>1084</v>
      </c>
      <c r="T65" s="115"/>
    </row>
    <row r="66" spans="1:20" ht="31" customHeight="1">
      <c r="A66" s="377"/>
      <c r="B66" s="374"/>
      <c r="C66" s="374"/>
      <c r="D66" s="374"/>
      <c r="E66" s="374"/>
      <c r="F66" s="374"/>
      <c r="G66" s="110"/>
      <c r="H66" s="374"/>
      <c r="I66" s="110" t="s">
        <v>414</v>
      </c>
      <c r="J66" s="25"/>
      <c r="K66" s="265" t="s">
        <v>338</v>
      </c>
      <c r="L66" s="110" t="s">
        <v>339</v>
      </c>
      <c r="M66" s="110" t="s">
        <v>374</v>
      </c>
      <c r="N66" s="267" t="s">
        <v>340</v>
      </c>
      <c r="O66" s="478"/>
      <c r="P66" s="80" t="s">
        <v>475</v>
      </c>
      <c r="Q66" s="369"/>
      <c r="R66" s="371"/>
      <c r="S66" s="372"/>
      <c r="T66" s="115"/>
    </row>
    <row r="67" spans="1:20" ht="34" customHeight="1" thickBot="1">
      <c r="A67" s="377"/>
      <c r="B67" s="374"/>
      <c r="C67" s="374"/>
      <c r="D67" s="374"/>
      <c r="E67" s="374"/>
      <c r="F67" s="374"/>
      <c r="G67" s="110"/>
      <c r="H67" s="375"/>
      <c r="I67" s="110" t="s">
        <v>98</v>
      </c>
      <c r="J67" s="25"/>
      <c r="K67" s="265" t="s">
        <v>341</v>
      </c>
      <c r="L67" s="110" t="s">
        <v>342</v>
      </c>
      <c r="M67" s="110" t="s">
        <v>395</v>
      </c>
      <c r="N67" s="267" t="s">
        <v>88</v>
      </c>
      <c r="O67" s="478"/>
      <c r="P67" s="80" t="s">
        <v>475</v>
      </c>
      <c r="Q67" s="369"/>
      <c r="R67" s="371"/>
      <c r="S67" s="372"/>
      <c r="T67" s="115"/>
    </row>
    <row r="68" spans="1:20" ht="68">
      <c r="A68" s="376" t="s">
        <v>248</v>
      </c>
      <c r="B68" s="373" t="s">
        <v>1211</v>
      </c>
      <c r="C68" s="373" t="s">
        <v>1110</v>
      </c>
      <c r="D68" s="373" t="s">
        <v>1226</v>
      </c>
      <c r="E68" s="373" t="s">
        <v>1227</v>
      </c>
      <c r="F68" s="373" t="s">
        <v>249</v>
      </c>
      <c r="G68" s="373" t="s">
        <v>905</v>
      </c>
      <c r="H68" s="356" t="s">
        <v>904</v>
      </c>
      <c r="I68" s="260" t="s">
        <v>251</v>
      </c>
      <c r="J68" s="261"/>
      <c r="K68" s="259" t="s">
        <v>549</v>
      </c>
      <c r="L68" s="260" t="s">
        <v>559</v>
      </c>
      <c r="M68" s="260" t="s">
        <v>387</v>
      </c>
      <c r="N68" s="262" t="s">
        <v>259</v>
      </c>
      <c r="O68" s="485" t="s">
        <v>1212</v>
      </c>
      <c r="P68" s="278" t="s">
        <v>469</v>
      </c>
      <c r="Q68" s="356" t="s">
        <v>1135</v>
      </c>
      <c r="R68" s="362" t="s">
        <v>917</v>
      </c>
      <c r="S68" s="365" t="s">
        <v>903</v>
      </c>
      <c r="T68" s="115"/>
    </row>
    <row r="69" spans="1:20" ht="51">
      <c r="A69" s="377"/>
      <c r="B69" s="374"/>
      <c r="C69" s="374"/>
      <c r="D69" s="374"/>
      <c r="E69" s="374"/>
      <c r="F69" s="374"/>
      <c r="G69" s="374"/>
      <c r="H69" s="357"/>
      <c r="I69" s="110" t="s">
        <v>2</v>
      </c>
      <c r="J69" s="117"/>
      <c r="K69" s="265" t="s">
        <v>542</v>
      </c>
      <c r="L69" s="110" t="s">
        <v>552</v>
      </c>
      <c r="M69" s="110" t="s">
        <v>378</v>
      </c>
      <c r="N69" s="267" t="s">
        <v>250</v>
      </c>
      <c r="O69" s="486"/>
      <c r="P69" s="115"/>
      <c r="Q69" s="357"/>
      <c r="R69" s="363"/>
      <c r="S69" s="366"/>
      <c r="T69" s="115"/>
    </row>
    <row r="70" spans="1:20" ht="51">
      <c r="A70" s="377"/>
      <c r="B70" s="374"/>
      <c r="C70" s="374"/>
      <c r="D70" s="374"/>
      <c r="E70" s="374"/>
      <c r="F70" s="374"/>
      <c r="G70" s="374"/>
      <c r="H70" s="357"/>
      <c r="I70" s="110" t="s">
        <v>3</v>
      </c>
      <c r="J70" s="117"/>
      <c r="K70" s="265" t="s">
        <v>545</v>
      </c>
      <c r="L70" s="110" t="s">
        <v>555</v>
      </c>
      <c r="M70" s="110" t="s">
        <v>400</v>
      </c>
      <c r="N70" s="267" t="s">
        <v>255</v>
      </c>
      <c r="O70" s="486"/>
      <c r="P70" s="115"/>
      <c r="Q70" s="357"/>
      <c r="R70" s="363"/>
      <c r="S70" s="366"/>
      <c r="T70" s="115"/>
    </row>
    <row r="71" spans="1:20" ht="51">
      <c r="A71" s="377"/>
      <c r="B71" s="374"/>
      <c r="C71" s="374"/>
      <c r="D71" s="374"/>
      <c r="E71" s="374"/>
      <c r="F71" s="374"/>
      <c r="G71" s="374"/>
      <c r="H71" s="357"/>
      <c r="I71" s="110" t="s">
        <v>117</v>
      </c>
      <c r="J71" s="117"/>
      <c r="K71" s="265" t="s">
        <v>546</v>
      </c>
      <c r="L71" s="110" t="s">
        <v>556</v>
      </c>
      <c r="M71" s="110" t="s">
        <v>401</v>
      </c>
      <c r="N71" s="267">
        <v>4.1000000000000002E-2</v>
      </c>
      <c r="O71" s="486"/>
      <c r="P71" s="115"/>
      <c r="Q71" s="357"/>
      <c r="R71" s="363"/>
      <c r="S71" s="366"/>
      <c r="T71" s="115"/>
    </row>
    <row r="72" spans="1:20" ht="51">
      <c r="A72" s="377"/>
      <c r="B72" s="374"/>
      <c r="C72" s="374"/>
      <c r="D72" s="374"/>
      <c r="E72" s="374"/>
      <c r="F72" s="374"/>
      <c r="G72" s="374"/>
      <c r="H72" s="357"/>
      <c r="I72" s="110" t="s">
        <v>4</v>
      </c>
      <c r="J72" s="117"/>
      <c r="K72" s="265" t="s">
        <v>547</v>
      </c>
      <c r="L72" s="110" t="s">
        <v>557</v>
      </c>
      <c r="M72" s="110" t="s">
        <v>438</v>
      </c>
      <c r="N72" s="267" t="s">
        <v>257</v>
      </c>
      <c r="O72" s="486"/>
      <c r="P72" s="115"/>
      <c r="Q72" s="357"/>
      <c r="R72" s="363"/>
      <c r="S72" s="366"/>
      <c r="T72" s="115"/>
    </row>
    <row r="73" spans="1:20" ht="51">
      <c r="A73" s="377"/>
      <c r="B73" s="374"/>
      <c r="C73" s="374"/>
      <c r="D73" s="374"/>
      <c r="E73" s="374"/>
      <c r="F73" s="374"/>
      <c r="G73" s="374"/>
      <c r="H73" s="357"/>
      <c r="I73" s="110" t="s">
        <v>97</v>
      </c>
      <c r="J73" s="117"/>
      <c r="K73" s="290" t="s">
        <v>550</v>
      </c>
      <c r="L73" s="110" t="s">
        <v>560</v>
      </c>
      <c r="M73" s="110" t="s">
        <v>373</v>
      </c>
      <c r="N73" s="267" t="s">
        <v>260</v>
      </c>
      <c r="O73" s="486"/>
      <c r="P73" s="115"/>
      <c r="Q73" s="357"/>
      <c r="R73" s="363"/>
      <c r="S73" s="366"/>
      <c r="T73" s="115"/>
    </row>
    <row r="74" spans="1:20" ht="68">
      <c r="A74" s="377"/>
      <c r="B74" s="374"/>
      <c r="C74" s="374"/>
      <c r="D74" s="374"/>
      <c r="E74" s="374"/>
      <c r="F74" s="374"/>
      <c r="G74" s="374"/>
      <c r="H74" s="357"/>
      <c r="I74" s="110" t="s">
        <v>98</v>
      </c>
      <c r="J74" s="117"/>
      <c r="K74" s="265" t="s">
        <v>548</v>
      </c>
      <c r="L74" s="110" t="s">
        <v>558</v>
      </c>
      <c r="M74" s="110" t="s">
        <v>395</v>
      </c>
      <c r="N74" s="267" t="s">
        <v>258</v>
      </c>
      <c r="O74" s="486"/>
      <c r="P74" s="115" t="s">
        <v>469</v>
      </c>
      <c r="Q74" s="357"/>
      <c r="R74" s="364"/>
      <c r="S74" s="367"/>
      <c r="T74" s="115"/>
    </row>
    <row r="75" spans="1:20" ht="27" customHeight="1" thickBot="1">
      <c r="A75" s="378"/>
      <c r="B75" s="375"/>
      <c r="C75" s="375"/>
      <c r="D75" s="375"/>
      <c r="E75" s="375"/>
      <c r="F75" s="375"/>
      <c r="G75" s="375"/>
      <c r="H75" s="358"/>
      <c r="I75" s="270" t="s">
        <v>5</v>
      </c>
      <c r="J75" s="271"/>
      <c r="K75" s="269" t="s">
        <v>544</v>
      </c>
      <c r="L75" s="270" t="s">
        <v>554</v>
      </c>
      <c r="M75" s="270" t="s">
        <v>386</v>
      </c>
      <c r="N75" s="272" t="s">
        <v>254</v>
      </c>
      <c r="O75" s="487"/>
      <c r="P75" s="285" t="s">
        <v>469</v>
      </c>
      <c r="Q75" s="358"/>
      <c r="R75" s="488"/>
      <c r="S75" s="394"/>
      <c r="T75" s="115"/>
    </row>
    <row r="76" spans="1:20" ht="86" customHeight="1" thickBot="1">
      <c r="A76" s="291" t="s">
        <v>1412</v>
      </c>
      <c r="B76" s="292" t="s">
        <v>1024</v>
      </c>
      <c r="C76" s="292" t="s">
        <v>1421</v>
      </c>
      <c r="D76" s="293" t="s">
        <v>1422</v>
      </c>
      <c r="E76" s="292" t="s">
        <v>1423</v>
      </c>
      <c r="F76" s="292" t="s">
        <v>1424</v>
      </c>
      <c r="G76" s="292"/>
      <c r="H76" s="294" t="s">
        <v>1182</v>
      </c>
      <c r="I76" s="292" t="s">
        <v>5</v>
      </c>
      <c r="J76" s="277"/>
      <c r="K76" s="291" t="s">
        <v>1416</v>
      </c>
      <c r="L76" s="292" t="s">
        <v>1417</v>
      </c>
      <c r="M76" s="292"/>
      <c r="N76" s="295" t="s">
        <v>195</v>
      </c>
      <c r="O76" s="296" t="s">
        <v>1026</v>
      </c>
      <c r="P76" s="297"/>
      <c r="Q76" s="294" t="s">
        <v>1114</v>
      </c>
      <c r="R76" s="298" t="s">
        <v>1413</v>
      </c>
      <c r="S76" s="299" t="s">
        <v>1414</v>
      </c>
      <c r="T76" s="115"/>
    </row>
    <row r="77" spans="1:20" ht="17">
      <c r="A77" s="377" t="s">
        <v>957</v>
      </c>
      <c r="B77" s="374" t="s">
        <v>1024</v>
      </c>
      <c r="C77" s="374" t="s">
        <v>1158</v>
      </c>
      <c r="D77" s="374" t="s">
        <v>1156</v>
      </c>
      <c r="E77" s="374" t="s">
        <v>1157</v>
      </c>
      <c r="F77" s="374" t="s">
        <v>959</v>
      </c>
      <c r="G77" s="110"/>
      <c r="H77" s="374" t="s">
        <v>939</v>
      </c>
      <c r="I77" s="110" t="s">
        <v>443</v>
      </c>
      <c r="J77" s="117"/>
      <c r="K77" s="288" t="s">
        <v>963</v>
      </c>
      <c r="L77" s="283" t="s">
        <v>981</v>
      </c>
      <c r="M77" s="110"/>
      <c r="N77" s="267">
        <v>7.0000000000000001E-3</v>
      </c>
      <c r="O77" s="478" t="s">
        <v>1149</v>
      </c>
      <c r="P77" s="115" t="s">
        <v>664</v>
      </c>
      <c r="Q77" s="357" t="s">
        <v>1135</v>
      </c>
      <c r="R77" s="363" t="s">
        <v>956</v>
      </c>
      <c r="S77" s="397" t="s">
        <v>1022</v>
      </c>
      <c r="T77" s="115"/>
    </row>
    <row r="78" spans="1:20" ht="22" customHeight="1">
      <c r="A78" s="377"/>
      <c r="B78" s="374"/>
      <c r="C78" s="374"/>
      <c r="D78" s="374"/>
      <c r="E78" s="374"/>
      <c r="F78" s="374"/>
      <c r="G78" s="110"/>
      <c r="H78" s="374"/>
      <c r="I78" s="110" t="s">
        <v>2</v>
      </c>
      <c r="J78" s="117"/>
      <c r="K78" s="300" t="s">
        <v>964</v>
      </c>
      <c r="L78" s="117" t="s">
        <v>982</v>
      </c>
      <c r="M78" s="110"/>
      <c r="N78" s="267">
        <v>0</v>
      </c>
      <c r="O78" s="478"/>
      <c r="P78" s="115" t="s">
        <v>664</v>
      </c>
      <c r="Q78" s="357"/>
      <c r="R78" s="363"/>
      <c r="S78" s="397"/>
      <c r="T78" s="115"/>
    </row>
    <row r="79" spans="1:20" ht="18" customHeight="1">
      <c r="A79" s="377"/>
      <c r="B79" s="374"/>
      <c r="C79" s="374"/>
      <c r="D79" s="374"/>
      <c r="E79" s="374"/>
      <c r="F79" s="374"/>
      <c r="G79" s="110"/>
      <c r="H79" s="374"/>
      <c r="I79" s="110" t="s">
        <v>3</v>
      </c>
      <c r="J79" s="117"/>
      <c r="K79" s="300" t="s">
        <v>965</v>
      </c>
      <c r="L79" s="117" t="s">
        <v>983</v>
      </c>
      <c r="M79" s="110"/>
      <c r="N79" s="267">
        <v>0.42099999999999999</v>
      </c>
      <c r="O79" s="478"/>
      <c r="P79" s="115" t="s">
        <v>664</v>
      </c>
      <c r="Q79" s="357"/>
      <c r="R79" s="363"/>
      <c r="S79" s="397"/>
      <c r="T79" s="115"/>
    </row>
    <row r="80" spans="1:20" ht="15" customHeight="1">
      <c r="A80" s="377"/>
      <c r="B80" s="374"/>
      <c r="C80" s="374"/>
      <c r="D80" s="374"/>
      <c r="E80" s="374"/>
      <c r="F80" s="374"/>
      <c r="G80" s="110"/>
      <c r="H80" s="374"/>
      <c r="I80" s="110" t="s">
        <v>117</v>
      </c>
      <c r="J80" s="117"/>
      <c r="K80" s="300" t="s">
        <v>966</v>
      </c>
      <c r="L80" s="117" t="s">
        <v>984</v>
      </c>
      <c r="M80" s="110"/>
      <c r="N80" s="267">
        <v>1E-3</v>
      </c>
      <c r="O80" s="478"/>
      <c r="P80" s="115" t="s">
        <v>664</v>
      </c>
      <c r="Q80" s="357"/>
      <c r="R80" s="363"/>
      <c r="S80" s="397"/>
      <c r="T80" s="115"/>
    </row>
    <row r="81" spans="1:20" ht="11" customHeight="1">
      <c r="A81" s="377"/>
      <c r="B81" s="374"/>
      <c r="C81" s="374"/>
      <c r="D81" s="374"/>
      <c r="E81" s="374"/>
      <c r="F81" s="374"/>
      <c r="G81" s="110"/>
      <c r="H81" s="374"/>
      <c r="I81" s="110" t="s">
        <v>4</v>
      </c>
      <c r="J81" s="117"/>
      <c r="K81" s="300" t="s">
        <v>1159</v>
      </c>
      <c r="L81" s="301" t="s">
        <v>1160</v>
      </c>
      <c r="M81" s="110"/>
      <c r="N81" s="267">
        <v>0</v>
      </c>
      <c r="O81" s="478"/>
      <c r="P81" s="115"/>
      <c r="Q81" s="357"/>
      <c r="R81" s="363"/>
      <c r="S81" s="397"/>
      <c r="T81" s="115"/>
    </row>
    <row r="82" spans="1:20" ht="15" customHeight="1">
      <c r="A82" s="377"/>
      <c r="B82" s="374"/>
      <c r="C82" s="374"/>
      <c r="D82" s="374"/>
      <c r="E82" s="374"/>
      <c r="F82" s="374"/>
      <c r="G82" s="110"/>
      <c r="H82" s="374"/>
      <c r="I82" s="110" t="s">
        <v>97</v>
      </c>
      <c r="J82" s="117"/>
      <c r="K82" s="300" t="s">
        <v>967</v>
      </c>
      <c r="L82" s="117" t="s">
        <v>985</v>
      </c>
      <c r="M82" s="110"/>
      <c r="N82" s="267">
        <v>2E-3</v>
      </c>
      <c r="O82" s="478"/>
      <c r="P82" s="115" t="s">
        <v>664</v>
      </c>
      <c r="Q82" s="357"/>
      <c r="R82" s="363"/>
      <c r="S82" s="367"/>
      <c r="T82" s="115"/>
    </row>
    <row r="83" spans="1:20" ht="18" customHeight="1">
      <c r="A83" s="377"/>
      <c r="B83" s="374"/>
      <c r="C83" s="374"/>
      <c r="D83" s="374"/>
      <c r="E83" s="374"/>
      <c r="F83" s="374"/>
      <c r="G83" s="110"/>
      <c r="H83" s="374"/>
      <c r="I83" s="110" t="s">
        <v>98</v>
      </c>
      <c r="J83" s="117"/>
      <c r="K83" s="300" t="s">
        <v>961</v>
      </c>
      <c r="L83" s="117" t="s">
        <v>979</v>
      </c>
      <c r="M83" s="110"/>
      <c r="N83" s="267">
        <v>1E-3</v>
      </c>
      <c r="O83" s="478"/>
      <c r="P83" s="115" t="s">
        <v>664</v>
      </c>
      <c r="Q83" s="357"/>
      <c r="R83" s="363"/>
      <c r="S83" s="367"/>
      <c r="T83" s="115"/>
    </row>
    <row r="84" spans="1:20" ht="14" customHeight="1">
      <c r="A84" s="377"/>
      <c r="B84" s="374"/>
      <c r="C84" s="374"/>
      <c r="D84" s="374"/>
      <c r="E84" s="374"/>
      <c r="F84" s="374"/>
      <c r="G84" s="110"/>
      <c r="H84" s="374"/>
      <c r="I84" s="110" t="s">
        <v>121</v>
      </c>
      <c r="J84" s="117"/>
      <c r="K84" s="300" t="s">
        <v>962</v>
      </c>
      <c r="L84" s="117" t="s">
        <v>980</v>
      </c>
      <c r="M84" s="110"/>
      <c r="N84" s="267">
        <v>7.0000000000000007E-2</v>
      </c>
      <c r="O84" s="478"/>
      <c r="P84" s="115" t="s">
        <v>664</v>
      </c>
      <c r="Q84" s="357"/>
      <c r="R84" s="363"/>
      <c r="S84" s="367"/>
      <c r="T84" s="115"/>
    </row>
    <row r="85" spans="1:20" ht="11" customHeight="1">
      <c r="A85" s="377"/>
      <c r="B85" s="374"/>
      <c r="C85" s="374"/>
      <c r="D85" s="374"/>
      <c r="E85" s="374"/>
      <c r="F85" s="374"/>
      <c r="G85" s="110"/>
      <c r="H85" s="374"/>
      <c r="I85" s="110" t="s">
        <v>1</v>
      </c>
      <c r="J85" s="117"/>
      <c r="K85" s="288" t="s">
        <v>960</v>
      </c>
      <c r="L85" s="283" t="s">
        <v>978</v>
      </c>
      <c r="M85" s="110"/>
      <c r="N85" s="267">
        <v>0.25900000000000001</v>
      </c>
      <c r="O85" s="478"/>
      <c r="P85" s="115" t="s">
        <v>664</v>
      </c>
      <c r="Q85" s="357"/>
      <c r="R85" s="363"/>
      <c r="S85" s="367"/>
      <c r="T85" s="115"/>
    </row>
    <row r="86" spans="1:20" ht="24" customHeight="1" thickBot="1">
      <c r="A86" s="378"/>
      <c r="B86" s="375"/>
      <c r="C86" s="375"/>
      <c r="D86" s="375"/>
      <c r="E86" s="375"/>
      <c r="F86" s="375"/>
      <c r="G86" s="270"/>
      <c r="H86" s="375"/>
      <c r="I86" s="270" t="s">
        <v>5</v>
      </c>
      <c r="J86" s="271"/>
      <c r="K86" s="302" t="s">
        <v>968</v>
      </c>
      <c r="L86" s="271" t="s">
        <v>986</v>
      </c>
      <c r="M86" s="270"/>
      <c r="N86" s="272">
        <v>8.0000000000000002E-3</v>
      </c>
      <c r="O86" s="476"/>
      <c r="P86" s="285" t="s">
        <v>664</v>
      </c>
      <c r="Q86" s="358"/>
      <c r="R86" s="395"/>
      <c r="S86" s="394"/>
      <c r="T86" s="115"/>
    </row>
    <row r="87" spans="1:20" ht="219" customHeight="1">
      <c r="A87" s="376" t="s">
        <v>116</v>
      </c>
      <c r="B87" s="373" t="s">
        <v>1025</v>
      </c>
      <c r="C87" s="373" t="s">
        <v>1165</v>
      </c>
      <c r="D87" s="373" t="s">
        <v>1164</v>
      </c>
      <c r="E87" s="373" t="s">
        <v>1166</v>
      </c>
      <c r="F87" s="373" t="s">
        <v>1195</v>
      </c>
      <c r="G87" s="289" t="s">
        <v>901</v>
      </c>
      <c r="H87" s="373" t="s">
        <v>939</v>
      </c>
      <c r="I87" s="110" t="s">
        <v>443</v>
      </c>
      <c r="J87" s="117" t="s">
        <v>675</v>
      </c>
      <c r="K87" s="265" t="s">
        <v>138</v>
      </c>
      <c r="L87" s="110" t="s">
        <v>165</v>
      </c>
      <c r="M87" s="110" t="s">
        <v>444</v>
      </c>
      <c r="N87" s="267" t="s">
        <v>192</v>
      </c>
      <c r="O87" s="475" t="s">
        <v>1161</v>
      </c>
      <c r="P87" s="115" t="s">
        <v>664</v>
      </c>
      <c r="Q87" s="356" t="s">
        <v>1114</v>
      </c>
      <c r="R87" s="363" t="s">
        <v>899</v>
      </c>
      <c r="S87" s="366" t="s">
        <v>1021</v>
      </c>
      <c r="T87" s="115"/>
    </row>
    <row r="88" spans="1:20" ht="51">
      <c r="A88" s="377"/>
      <c r="B88" s="374"/>
      <c r="C88" s="374"/>
      <c r="D88" s="374"/>
      <c r="E88" s="374"/>
      <c r="F88" s="374"/>
      <c r="G88" s="289"/>
      <c r="H88" s="374"/>
      <c r="I88" s="110" t="s">
        <v>2</v>
      </c>
      <c r="J88" s="117" t="s">
        <v>675</v>
      </c>
      <c r="K88" s="265" t="s">
        <v>139</v>
      </c>
      <c r="L88" s="110" t="s">
        <v>166</v>
      </c>
      <c r="M88" s="110" t="s">
        <v>378</v>
      </c>
      <c r="N88" s="267" t="s">
        <v>193</v>
      </c>
      <c r="O88" s="478"/>
      <c r="P88" s="115" t="s">
        <v>664</v>
      </c>
      <c r="Q88" s="357"/>
      <c r="R88" s="363"/>
      <c r="S88" s="367"/>
      <c r="T88" s="115"/>
    </row>
    <row r="89" spans="1:20" ht="51">
      <c r="A89" s="377"/>
      <c r="B89" s="374"/>
      <c r="C89" s="374"/>
      <c r="D89" s="374"/>
      <c r="E89" s="374"/>
      <c r="F89" s="374"/>
      <c r="G89" s="289"/>
      <c r="H89" s="374"/>
      <c r="I89" s="110" t="s">
        <v>3</v>
      </c>
      <c r="J89" s="117" t="s">
        <v>675</v>
      </c>
      <c r="K89" s="265" t="s">
        <v>140</v>
      </c>
      <c r="L89" s="110" t="s">
        <v>167</v>
      </c>
      <c r="M89" s="110" t="s">
        <v>400</v>
      </c>
      <c r="N89" s="267" t="s">
        <v>194</v>
      </c>
      <c r="O89" s="478"/>
      <c r="P89" s="115" t="s">
        <v>664</v>
      </c>
      <c r="Q89" s="357"/>
      <c r="R89" s="363"/>
      <c r="S89" s="367"/>
      <c r="T89" s="115"/>
    </row>
    <row r="90" spans="1:20" ht="28" customHeight="1">
      <c r="A90" s="377"/>
      <c r="B90" s="374"/>
      <c r="C90" s="374"/>
      <c r="D90" s="374"/>
      <c r="E90" s="374"/>
      <c r="F90" s="374"/>
      <c r="G90" s="289"/>
      <c r="H90" s="374"/>
      <c r="I90" s="110" t="s">
        <v>117</v>
      </c>
      <c r="J90" s="117" t="s">
        <v>686</v>
      </c>
      <c r="K90" s="265" t="s">
        <v>141</v>
      </c>
      <c r="L90" s="110" t="s">
        <v>168</v>
      </c>
      <c r="M90" s="110" t="s">
        <v>401</v>
      </c>
      <c r="N90" s="267" t="s">
        <v>195</v>
      </c>
      <c r="O90" s="478"/>
      <c r="P90" s="115" t="s">
        <v>664</v>
      </c>
      <c r="Q90" s="357"/>
      <c r="R90" s="363"/>
      <c r="S90" s="367"/>
      <c r="T90" s="115"/>
    </row>
    <row r="91" spans="1:20" ht="42" customHeight="1">
      <c r="A91" s="377"/>
      <c r="B91" s="374"/>
      <c r="C91" s="374"/>
      <c r="D91" s="374"/>
      <c r="E91" s="374"/>
      <c r="F91" s="374"/>
      <c r="G91" s="289"/>
      <c r="H91" s="374"/>
      <c r="I91" s="110" t="s">
        <v>4</v>
      </c>
      <c r="J91" s="117" t="s">
        <v>675</v>
      </c>
      <c r="K91" s="265" t="s">
        <v>142</v>
      </c>
      <c r="L91" s="110" t="s">
        <v>169</v>
      </c>
      <c r="M91" s="110" t="s">
        <v>374</v>
      </c>
      <c r="N91" s="267" t="s">
        <v>196</v>
      </c>
      <c r="O91" s="478"/>
      <c r="P91" s="115" t="s">
        <v>664</v>
      </c>
      <c r="Q91" s="357"/>
      <c r="R91" s="363"/>
      <c r="S91" s="367"/>
    </row>
    <row r="92" spans="1:20" ht="21" customHeight="1">
      <c r="A92" s="377"/>
      <c r="B92" s="374"/>
      <c r="C92" s="374"/>
      <c r="D92" s="374"/>
      <c r="E92" s="374"/>
      <c r="F92" s="374"/>
      <c r="G92" s="289"/>
      <c r="H92" s="374"/>
      <c r="I92" s="110" t="s">
        <v>97</v>
      </c>
      <c r="J92" s="117" t="s">
        <v>675</v>
      </c>
      <c r="K92" s="265" t="s">
        <v>143</v>
      </c>
      <c r="L92" s="110" t="s">
        <v>170</v>
      </c>
      <c r="M92" s="110" t="s">
        <v>445</v>
      </c>
      <c r="N92" s="267" t="s">
        <v>197</v>
      </c>
      <c r="O92" s="478"/>
      <c r="P92" s="115" t="s">
        <v>664</v>
      </c>
      <c r="Q92" s="357"/>
      <c r="R92" s="363"/>
      <c r="S92" s="367"/>
    </row>
    <row r="93" spans="1:20" ht="24" customHeight="1">
      <c r="A93" s="377"/>
      <c r="B93" s="374"/>
      <c r="C93" s="374"/>
      <c r="D93" s="374"/>
      <c r="E93" s="374"/>
      <c r="F93" s="374"/>
      <c r="G93" s="289"/>
      <c r="H93" s="374"/>
      <c r="I93" s="110" t="s">
        <v>98</v>
      </c>
      <c r="J93" s="117" t="s">
        <v>675</v>
      </c>
      <c r="K93" s="265" t="s">
        <v>144</v>
      </c>
      <c r="L93" s="110" t="s">
        <v>171</v>
      </c>
      <c r="M93" s="110" t="s">
        <v>432</v>
      </c>
      <c r="N93" s="267" t="s">
        <v>198</v>
      </c>
      <c r="O93" s="478"/>
      <c r="P93" s="115" t="s">
        <v>664</v>
      </c>
      <c r="Q93" s="357"/>
      <c r="R93" s="363"/>
      <c r="S93" s="367"/>
    </row>
    <row r="94" spans="1:20" ht="24" customHeight="1">
      <c r="A94" s="377"/>
      <c r="B94" s="374"/>
      <c r="C94" s="374"/>
      <c r="D94" s="374"/>
      <c r="E94" s="374"/>
      <c r="F94" s="374"/>
      <c r="G94" s="289"/>
      <c r="H94" s="374"/>
      <c r="I94" s="110" t="s">
        <v>121</v>
      </c>
      <c r="J94" s="117" t="s">
        <v>675</v>
      </c>
      <c r="K94" s="265" t="s">
        <v>147</v>
      </c>
      <c r="L94" s="110" t="s">
        <v>174</v>
      </c>
      <c r="M94" s="110" t="s">
        <v>448</v>
      </c>
      <c r="N94" s="267" t="s">
        <v>201</v>
      </c>
      <c r="O94" s="478"/>
      <c r="P94" s="115" t="s">
        <v>664</v>
      </c>
      <c r="Q94" s="357"/>
      <c r="R94" s="363"/>
      <c r="S94" s="367"/>
    </row>
    <row r="95" spans="1:20" ht="28" customHeight="1" thickBot="1">
      <c r="A95" s="378"/>
      <c r="B95" s="375"/>
      <c r="C95" s="375"/>
      <c r="D95" s="375"/>
      <c r="E95" s="375"/>
      <c r="F95" s="375"/>
      <c r="G95" s="289"/>
      <c r="H95" s="375"/>
      <c r="I95" s="110" t="s">
        <v>5</v>
      </c>
      <c r="J95" s="117" t="s">
        <v>675</v>
      </c>
      <c r="K95" s="265" t="s">
        <v>156</v>
      </c>
      <c r="L95" s="110" t="s">
        <v>183</v>
      </c>
      <c r="M95" s="110" t="s">
        <v>386</v>
      </c>
      <c r="N95" s="267" t="s">
        <v>210</v>
      </c>
      <c r="O95" s="476"/>
      <c r="P95" s="115" t="s">
        <v>664</v>
      </c>
      <c r="Q95" s="358"/>
      <c r="R95" s="363"/>
      <c r="S95" s="367"/>
    </row>
    <row r="96" spans="1:20" ht="28" customHeight="1">
      <c r="A96" s="376" t="s">
        <v>940</v>
      </c>
      <c r="B96" s="373" t="s">
        <v>1025</v>
      </c>
      <c r="C96" s="373" t="s">
        <v>1109</v>
      </c>
      <c r="D96" s="402" t="s">
        <v>1176</v>
      </c>
      <c r="E96" s="373" t="s">
        <v>1177</v>
      </c>
      <c r="F96" s="373" t="s">
        <v>941</v>
      </c>
      <c r="G96" s="260"/>
      <c r="H96" s="373" t="s">
        <v>939</v>
      </c>
      <c r="I96" s="260" t="s">
        <v>443</v>
      </c>
      <c r="J96" s="261"/>
      <c r="K96" s="259" t="s">
        <v>948</v>
      </c>
      <c r="L96" s="260" t="s">
        <v>951</v>
      </c>
      <c r="M96" s="260"/>
      <c r="N96" s="262">
        <v>0.23699999999999999</v>
      </c>
      <c r="O96" s="482" t="s">
        <v>1167</v>
      </c>
      <c r="P96" s="278" t="s">
        <v>663</v>
      </c>
      <c r="Q96" s="356" t="s">
        <v>1114</v>
      </c>
      <c r="R96" s="362" t="s">
        <v>954</v>
      </c>
      <c r="S96" s="396" t="s">
        <v>955</v>
      </c>
    </row>
    <row r="97" spans="1:19" ht="28" customHeight="1">
      <c r="A97" s="377"/>
      <c r="B97" s="374"/>
      <c r="C97" s="374"/>
      <c r="D97" s="403"/>
      <c r="E97" s="374"/>
      <c r="F97" s="374"/>
      <c r="G97" s="110"/>
      <c r="H97" s="374"/>
      <c r="I97" s="110" t="s">
        <v>4</v>
      </c>
      <c r="J97" s="117"/>
      <c r="K97" s="265" t="s">
        <v>1174</v>
      </c>
      <c r="L97" s="110" t="s">
        <v>1175</v>
      </c>
      <c r="M97" s="110"/>
      <c r="N97" s="267">
        <v>0.24</v>
      </c>
      <c r="O97" s="483"/>
      <c r="P97" s="115"/>
      <c r="Q97" s="357"/>
      <c r="R97" s="363"/>
      <c r="S97" s="397"/>
    </row>
    <row r="98" spans="1:19" ht="28" customHeight="1">
      <c r="A98" s="377"/>
      <c r="B98" s="374"/>
      <c r="C98" s="374"/>
      <c r="D98" s="403"/>
      <c r="E98" s="374"/>
      <c r="F98" s="374"/>
      <c r="G98" s="110"/>
      <c r="H98" s="374"/>
      <c r="I98" s="110" t="s">
        <v>5</v>
      </c>
      <c r="J98" s="117"/>
      <c r="K98" s="265" t="s">
        <v>949</v>
      </c>
      <c r="L98" s="110" t="s">
        <v>952</v>
      </c>
      <c r="M98" s="110"/>
      <c r="N98" s="267">
        <v>0.53400000000000003</v>
      </c>
      <c r="O98" s="483"/>
      <c r="P98" s="115" t="s">
        <v>663</v>
      </c>
      <c r="Q98" s="357"/>
      <c r="R98" s="363"/>
      <c r="S98" s="367"/>
    </row>
    <row r="99" spans="1:19" ht="28" customHeight="1" thickBot="1">
      <c r="A99" s="378"/>
      <c r="B99" s="375"/>
      <c r="C99" s="375"/>
      <c r="D99" s="404"/>
      <c r="E99" s="375"/>
      <c r="F99" s="375"/>
      <c r="G99" s="270"/>
      <c r="H99" s="375"/>
      <c r="I99" s="270" t="s">
        <v>1</v>
      </c>
      <c r="J99" s="271"/>
      <c r="K99" s="269" t="s">
        <v>950</v>
      </c>
      <c r="L99" s="270" t="s">
        <v>953</v>
      </c>
      <c r="M99" s="270"/>
      <c r="N99" s="272">
        <v>2E-3</v>
      </c>
      <c r="O99" s="484"/>
      <c r="P99" s="285" t="s">
        <v>663</v>
      </c>
      <c r="Q99" s="358"/>
      <c r="R99" s="395"/>
      <c r="S99" s="394"/>
    </row>
    <row r="100" spans="1:19" ht="17">
      <c r="A100" s="376" t="s">
        <v>995</v>
      </c>
      <c r="B100" s="373" t="s">
        <v>1024</v>
      </c>
      <c r="C100" s="373" t="s">
        <v>1110</v>
      </c>
      <c r="D100" s="373" t="s">
        <v>1180</v>
      </c>
      <c r="E100" s="373" t="s">
        <v>1181</v>
      </c>
      <c r="F100" s="373" t="s">
        <v>997</v>
      </c>
      <c r="G100" s="260"/>
      <c r="H100" s="373" t="s">
        <v>904</v>
      </c>
      <c r="I100" s="260" t="s">
        <v>251</v>
      </c>
      <c r="J100" s="261"/>
      <c r="K100" s="259" t="s">
        <v>1007</v>
      </c>
      <c r="L100" s="260" t="s">
        <v>1009</v>
      </c>
      <c r="M100" s="260"/>
      <c r="N100" s="262" t="s">
        <v>195</v>
      </c>
      <c r="O100" s="475" t="s">
        <v>1026</v>
      </c>
      <c r="P100" s="278" t="s">
        <v>469</v>
      </c>
      <c r="Q100" s="356" t="s">
        <v>1114</v>
      </c>
      <c r="R100" s="362" t="s">
        <v>998</v>
      </c>
      <c r="S100" s="396" t="s">
        <v>1019</v>
      </c>
    </row>
    <row r="101" spans="1:19" ht="17">
      <c r="A101" s="377"/>
      <c r="B101" s="374"/>
      <c r="C101" s="374"/>
      <c r="D101" s="374"/>
      <c r="E101" s="374"/>
      <c r="F101" s="374"/>
      <c r="G101" s="110"/>
      <c r="H101" s="374"/>
      <c r="I101" s="110" t="s">
        <v>4</v>
      </c>
      <c r="J101" s="117"/>
      <c r="K101" s="265" t="s">
        <v>1008</v>
      </c>
      <c r="L101" s="110" t="s">
        <v>1010</v>
      </c>
      <c r="M101" s="110"/>
      <c r="N101" s="307" t="s">
        <v>195</v>
      </c>
      <c r="O101" s="478"/>
      <c r="P101" s="115" t="s">
        <v>469</v>
      </c>
      <c r="Q101" s="357"/>
      <c r="R101" s="363"/>
      <c r="S101" s="397"/>
    </row>
    <row r="102" spans="1:19" ht="17">
      <c r="A102" s="377"/>
      <c r="B102" s="374"/>
      <c r="C102" s="374"/>
      <c r="D102" s="374"/>
      <c r="E102" s="374"/>
      <c r="F102" s="374"/>
      <c r="G102" s="110"/>
      <c r="H102" s="374"/>
      <c r="I102" s="110" t="s">
        <v>98</v>
      </c>
      <c r="J102" s="117"/>
      <c r="K102" s="265" t="s">
        <v>1005</v>
      </c>
      <c r="L102" s="110" t="s">
        <v>1011</v>
      </c>
      <c r="M102" s="110"/>
      <c r="N102" s="307" t="s">
        <v>195</v>
      </c>
      <c r="O102" s="478"/>
      <c r="P102" s="115" t="s">
        <v>469</v>
      </c>
      <c r="Q102" s="357"/>
      <c r="R102" s="363"/>
      <c r="S102" s="397"/>
    </row>
    <row r="103" spans="1:19" ht="18" thickBot="1">
      <c r="A103" s="378"/>
      <c r="B103" s="375"/>
      <c r="C103" s="375"/>
      <c r="D103" s="375"/>
      <c r="E103" s="375"/>
      <c r="F103" s="375"/>
      <c r="G103" s="270"/>
      <c r="H103" s="375"/>
      <c r="I103" s="270" t="s">
        <v>5</v>
      </c>
      <c r="J103" s="271"/>
      <c r="K103" s="269" t="s">
        <v>1006</v>
      </c>
      <c r="L103" s="270" t="s">
        <v>1012</v>
      </c>
      <c r="M103" s="270"/>
      <c r="N103" s="308" t="s">
        <v>195</v>
      </c>
      <c r="O103" s="476"/>
      <c r="P103" s="285" t="s">
        <v>469</v>
      </c>
      <c r="Q103" s="358"/>
      <c r="R103" s="395"/>
      <c r="S103" s="398"/>
    </row>
  </sheetData>
  <mergeCells count="236">
    <mergeCell ref="E39:E40"/>
    <mergeCell ref="E31:E36"/>
    <mergeCell ref="Q31:Q36"/>
    <mergeCell ref="Q37:Q38"/>
    <mergeCell ref="E37:E38"/>
    <mergeCell ref="Q39:Q40"/>
    <mergeCell ref="Q2:Q4"/>
    <mergeCell ref="D8:D12"/>
    <mergeCell ref="E2:E4"/>
    <mergeCell ref="E8:E12"/>
    <mergeCell ref="Q8:Q12"/>
    <mergeCell ref="E24:E25"/>
    <mergeCell ref="Q24:Q25"/>
    <mergeCell ref="H39:H40"/>
    <mergeCell ref="O39:O40"/>
    <mergeCell ref="H31:H36"/>
    <mergeCell ref="O31:O36"/>
    <mergeCell ref="G8:G12"/>
    <mergeCell ref="H8:H12"/>
    <mergeCell ref="O8:O12"/>
    <mergeCell ref="H26:H27"/>
    <mergeCell ref="F26:F27"/>
    <mergeCell ref="E26:E27"/>
    <mergeCell ref="H2:H4"/>
    <mergeCell ref="R58:R64"/>
    <mergeCell ref="S58:S64"/>
    <mergeCell ref="H49:H57"/>
    <mergeCell ref="O49:O57"/>
    <mergeCell ref="R49:R57"/>
    <mergeCell ref="A68:A75"/>
    <mergeCell ref="B68:B75"/>
    <mergeCell ref="C68:C75"/>
    <mergeCell ref="F68:F75"/>
    <mergeCell ref="G68:G75"/>
    <mergeCell ref="H68:H75"/>
    <mergeCell ref="O68:O75"/>
    <mergeCell ref="R68:R75"/>
    <mergeCell ref="S68:S75"/>
    <mergeCell ref="F65:F67"/>
    <mergeCell ref="H65:H67"/>
    <mergeCell ref="A58:A64"/>
    <mergeCell ref="B58:B64"/>
    <mergeCell ref="C58:C64"/>
    <mergeCell ref="F58:F64"/>
    <mergeCell ref="G58:G64"/>
    <mergeCell ref="H58:H64"/>
    <mergeCell ref="E65:E67"/>
    <mergeCell ref="D65:D67"/>
    <mergeCell ref="E100:E103"/>
    <mergeCell ref="D100:D103"/>
    <mergeCell ref="Q77:Q86"/>
    <mergeCell ref="E77:E86"/>
    <mergeCell ref="D87:D95"/>
    <mergeCell ref="E87:E95"/>
    <mergeCell ref="Q87:Q95"/>
    <mergeCell ref="H100:H103"/>
    <mergeCell ref="O100:O103"/>
    <mergeCell ref="H87:H95"/>
    <mergeCell ref="O87:O95"/>
    <mergeCell ref="A41:A48"/>
    <mergeCell ref="B41:B48"/>
    <mergeCell ref="C41:C48"/>
    <mergeCell ref="F41:F48"/>
    <mergeCell ref="D41:D48"/>
    <mergeCell ref="E41:E48"/>
    <mergeCell ref="O41:O48"/>
    <mergeCell ref="R41:R48"/>
    <mergeCell ref="S41:S48"/>
    <mergeCell ref="H41:H48"/>
    <mergeCell ref="Q41:Q48"/>
    <mergeCell ref="R100:R103"/>
    <mergeCell ref="S100:S103"/>
    <mergeCell ref="A49:A57"/>
    <mergeCell ref="B49:B57"/>
    <mergeCell ref="C49:C57"/>
    <mergeCell ref="F49:F57"/>
    <mergeCell ref="G49:G57"/>
    <mergeCell ref="H96:H99"/>
    <mergeCell ref="O96:O99"/>
    <mergeCell ref="R96:R99"/>
    <mergeCell ref="S96:S99"/>
    <mergeCell ref="A100:A103"/>
    <mergeCell ref="B100:B103"/>
    <mergeCell ref="C100:C103"/>
    <mergeCell ref="F100:F103"/>
    <mergeCell ref="E58:E64"/>
    <mergeCell ref="R65:R67"/>
    <mergeCell ref="Q65:Q67"/>
    <mergeCell ref="O65:O67"/>
    <mergeCell ref="A65:A67"/>
    <mergeCell ref="Q96:Q99"/>
    <mergeCell ref="D96:D99"/>
    <mergeCell ref="E96:E99"/>
    <mergeCell ref="Q100:Q103"/>
    <mergeCell ref="O58:O64"/>
    <mergeCell ref="Q58:Q64"/>
    <mergeCell ref="D58:D64"/>
    <mergeCell ref="S65:S67"/>
    <mergeCell ref="S49:S57"/>
    <mergeCell ref="C65:C67"/>
    <mergeCell ref="R87:R95"/>
    <mergeCell ref="S87:S95"/>
    <mergeCell ref="A96:A99"/>
    <mergeCell ref="B96:B99"/>
    <mergeCell ref="C96:C99"/>
    <mergeCell ref="F96:F99"/>
    <mergeCell ref="H77:H86"/>
    <mergeCell ref="O77:O86"/>
    <mergeCell ref="R77:R86"/>
    <mergeCell ref="S77:S86"/>
    <mergeCell ref="A87:A95"/>
    <mergeCell ref="B87:B95"/>
    <mergeCell ref="C87:C95"/>
    <mergeCell ref="F87:F95"/>
    <mergeCell ref="B65:B67"/>
    <mergeCell ref="Q68:Q75"/>
    <mergeCell ref="D68:D75"/>
    <mergeCell ref="E68:E75"/>
    <mergeCell ref="D24:D25"/>
    <mergeCell ref="F24:F25"/>
    <mergeCell ref="S26:S27"/>
    <mergeCell ref="D26:D27"/>
    <mergeCell ref="C26:C27"/>
    <mergeCell ref="R39:R40"/>
    <mergeCell ref="S39:S40"/>
    <mergeCell ref="A77:A86"/>
    <mergeCell ref="B77:B86"/>
    <mergeCell ref="C77:C86"/>
    <mergeCell ref="D77:D86"/>
    <mergeCell ref="F77:F86"/>
    <mergeCell ref="H37:H38"/>
    <mergeCell ref="O37:O38"/>
    <mergeCell ref="R37:R38"/>
    <mergeCell ref="S37:S38"/>
    <mergeCell ref="A39:A40"/>
    <mergeCell ref="B39:B40"/>
    <mergeCell ref="C39:C40"/>
    <mergeCell ref="D39:D40"/>
    <mergeCell ref="F39:F40"/>
    <mergeCell ref="Q49:Q57"/>
    <mergeCell ref="E49:E57"/>
    <mergeCell ref="D49:D57"/>
    <mergeCell ref="H6:H7"/>
    <mergeCell ref="R6:R7"/>
    <mergeCell ref="S6:S7"/>
    <mergeCell ref="O6:O7"/>
    <mergeCell ref="Q6:Q7"/>
    <mergeCell ref="R31:R36"/>
    <mergeCell ref="S31:S36"/>
    <mergeCell ref="A37:A38"/>
    <mergeCell ref="B37:B38"/>
    <mergeCell ref="C37:C38"/>
    <mergeCell ref="D37:D38"/>
    <mergeCell ref="F37:F38"/>
    <mergeCell ref="H24:H25"/>
    <mergeCell ref="O24:O25"/>
    <mergeCell ref="R24:R25"/>
    <mergeCell ref="S24:S25"/>
    <mergeCell ref="A31:A36"/>
    <mergeCell ref="B31:B36"/>
    <mergeCell ref="C31:C36"/>
    <mergeCell ref="D31:D36"/>
    <mergeCell ref="F31:F36"/>
    <mergeCell ref="A24:A25"/>
    <mergeCell ref="B24:B25"/>
    <mergeCell ref="C24:C25"/>
    <mergeCell ref="A8:A12"/>
    <mergeCell ref="B8:B12"/>
    <mergeCell ref="C8:C12"/>
    <mergeCell ref="F8:F12"/>
    <mergeCell ref="A2:A4"/>
    <mergeCell ref="B2:B4"/>
    <mergeCell ref="C2:C4"/>
    <mergeCell ref="F2:F4"/>
    <mergeCell ref="G2:G4"/>
    <mergeCell ref="D2:D4"/>
    <mergeCell ref="A6:A7"/>
    <mergeCell ref="B6:B7"/>
    <mergeCell ref="C6:C7"/>
    <mergeCell ref="E6:E7"/>
    <mergeCell ref="D6:D7"/>
    <mergeCell ref="F6:F7"/>
    <mergeCell ref="R8:R12"/>
    <mergeCell ref="O13:O15"/>
    <mergeCell ref="Q13:Q15"/>
    <mergeCell ref="S8:S12"/>
    <mergeCell ref="S16:S21"/>
    <mergeCell ref="R13:R15"/>
    <mergeCell ref="S13:S15"/>
    <mergeCell ref="O2:O4"/>
    <mergeCell ref="R2:R4"/>
    <mergeCell ref="S2:S4"/>
    <mergeCell ref="A22:A23"/>
    <mergeCell ref="B22:B23"/>
    <mergeCell ref="C22:C23"/>
    <mergeCell ref="D22:D23"/>
    <mergeCell ref="E22:E23"/>
    <mergeCell ref="A16:A21"/>
    <mergeCell ref="R16:R21"/>
    <mergeCell ref="Q16:Q21"/>
    <mergeCell ref="O16:O21"/>
    <mergeCell ref="F16:F21"/>
    <mergeCell ref="H16:H21"/>
    <mergeCell ref="B16:B21"/>
    <mergeCell ref="C16:C21"/>
    <mergeCell ref="D16:D21"/>
    <mergeCell ref="E16:E21"/>
    <mergeCell ref="F22:F23"/>
    <mergeCell ref="H22:H23"/>
    <mergeCell ref="O22:O23"/>
    <mergeCell ref="Q22:Q23"/>
    <mergeCell ref="R22:R23"/>
    <mergeCell ref="R28:R29"/>
    <mergeCell ref="S28:S29"/>
    <mergeCell ref="A13:A15"/>
    <mergeCell ref="B13:B15"/>
    <mergeCell ref="C13:C15"/>
    <mergeCell ref="D13:D15"/>
    <mergeCell ref="E13:E15"/>
    <mergeCell ref="F13:F15"/>
    <mergeCell ref="H13:H15"/>
    <mergeCell ref="S22:S23"/>
    <mergeCell ref="A28:A29"/>
    <mergeCell ref="B28:B29"/>
    <mergeCell ref="C28:C29"/>
    <mergeCell ref="D28:D29"/>
    <mergeCell ref="E28:E29"/>
    <mergeCell ref="F28:F29"/>
    <mergeCell ref="H28:H29"/>
    <mergeCell ref="O28:O29"/>
    <mergeCell ref="Q28:Q29"/>
    <mergeCell ref="A26:A27"/>
    <mergeCell ref="B26:B27"/>
    <mergeCell ref="Q26:Q27"/>
    <mergeCell ref="O26:O27"/>
    <mergeCell ref="R26:R27"/>
  </mergeCells>
  <hyperlinks>
    <hyperlink ref="S87" r:id="rId1" display="https://www.sciencedirect.com/science/article/pii/S1567576923004290?ref=pdf_download&amp;fr=RR-2&amp;rr=979f02ae5c9e1af5" xr:uid="{61B3C6D3-E509-214F-B767-3EBD246849A4}"/>
    <hyperlink ref="S68" r:id="rId2" xr:uid="{3F0C0C77-9242-B444-A52D-9B410A7EA328}"/>
    <hyperlink ref="S2" r:id="rId3" display="https://www.sciencedirect.com/science/article/pii/S0924977X01000815?ref=pdf_download&amp;fr=RR-2&amp;rr=979f2c587fd71b08" xr:uid="{951B986D-834E-BF49-8D55-21C6130036BD}"/>
    <hyperlink ref="S41" r:id="rId4" xr:uid="{DF7E9163-0F77-B24B-B12C-0862A802FF5D}"/>
    <hyperlink ref="S31" r:id="rId5" display="https://pubmed.ncbi.nlm.nih.gov/22981313/" xr:uid="{E1EFB347-9BAB-E643-84DA-005463467B72}"/>
    <hyperlink ref="S96" r:id="rId6" xr:uid="{D0F76601-87BC-2A4E-9AD7-2868D8765DD1}"/>
    <hyperlink ref="S77" r:id="rId7" xr:uid="{CC5FA8C3-2A03-B942-9ABE-9D102BC50473}"/>
    <hyperlink ref="S100" r:id="rId8" display="https://www.sciencedirect.com/science/article/pii/S0022395625001414?ref=pdf_download&amp;fr=RR-2&amp;rr=97a84c0e5fc85285" xr:uid="{7B914823-3292-E344-9760-2E4246866068}"/>
    <hyperlink ref="S49" r:id="rId9" xr:uid="{734B3B43-9A3B-A142-AB70-CF7D769C910C}"/>
  </hyperlinks>
  <pageMargins left="0.511811024" right="0.511811024" top="0.78740157499999996" bottom="0.78740157499999996" header="0.31496062000000002" footer="0.31496062000000002"/>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C5EB7-FA1A-064D-9FF9-6413036C6687}">
  <dimension ref="A1:O11"/>
  <sheetViews>
    <sheetView zoomScale="110" zoomScaleNormal="110" workbookViewId="0"/>
  </sheetViews>
  <sheetFormatPr baseColWidth="10" defaultRowHeight="16"/>
  <cols>
    <col min="1" max="1" width="21.6640625" customWidth="1"/>
    <col min="2" max="2" width="7.5" customWidth="1"/>
    <col min="5" max="5" width="7" customWidth="1"/>
    <col min="13" max="13" width="15.6640625" customWidth="1"/>
  </cols>
  <sheetData>
    <row r="1" spans="1:15">
      <c r="A1" s="27" t="s">
        <v>1696</v>
      </c>
      <c r="B1" s="27" t="s">
        <v>222</v>
      </c>
      <c r="C1" s="27" t="s">
        <v>223</v>
      </c>
      <c r="D1" s="27" t="s">
        <v>224</v>
      </c>
      <c r="E1" s="27" t="s">
        <v>225</v>
      </c>
      <c r="F1" s="27" t="s">
        <v>226</v>
      </c>
      <c r="G1" s="27" t="s">
        <v>227</v>
      </c>
      <c r="H1" s="27"/>
      <c r="I1" s="27"/>
      <c r="J1" s="27"/>
      <c r="K1" s="27"/>
      <c r="M1" s="27"/>
      <c r="N1" s="27"/>
      <c r="O1" s="198"/>
    </row>
    <row r="2" spans="1:15">
      <c r="A2" s="196" t="s">
        <v>299</v>
      </c>
      <c r="B2">
        <v>30</v>
      </c>
      <c r="C2">
        <v>15.345000000000001</v>
      </c>
      <c r="D2">
        <v>3.0470000000000002</v>
      </c>
      <c r="E2">
        <v>32</v>
      </c>
      <c r="F2">
        <v>18.834</v>
      </c>
      <c r="G2">
        <v>3.544</v>
      </c>
    </row>
    <row r="3" spans="1:15">
      <c r="A3" s="196" t="s">
        <v>940</v>
      </c>
      <c r="B3">
        <v>23</v>
      </c>
      <c r="C3">
        <v>7.55</v>
      </c>
      <c r="D3">
        <v>2.4900000000000002</v>
      </c>
      <c r="E3">
        <v>23</v>
      </c>
      <c r="F3">
        <v>6.39</v>
      </c>
      <c r="G3">
        <v>0.94</v>
      </c>
    </row>
    <row r="4" spans="1:15">
      <c r="A4" s="196" t="s">
        <v>957</v>
      </c>
      <c r="B4">
        <v>54</v>
      </c>
      <c r="C4">
        <v>0.31</v>
      </c>
      <c r="D4">
        <v>0.42</v>
      </c>
      <c r="E4">
        <v>60</v>
      </c>
      <c r="F4">
        <v>0.12</v>
      </c>
      <c r="G4">
        <v>0.43</v>
      </c>
    </row>
    <row r="5" spans="1:15">
      <c r="A5" s="196" t="s">
        <v>1013</v>
      </c>
      <c r="B5">
        <v>22</v>
      </c>
      <c r="C5">
        <v>13</v>
      </c>
      <c r="D5">
        <v>3.7</v>
      </c>
      <c r="E5">
        <v>17</v>
      </c>
      <c r="F5">
        <v>5.4</v>
      </c>
      <c r="G5">
        <v>0.8</v>
      </c>
    </row>
    <row r="6" spans="1:15">
      <c r="A6" s="196" t="s">
        <v>116</v>
      </c>
      <c r="B6">
        <v>59</v>
      </c>
      <c r="C6">
        <v>9.48</v>
      </c>
      <c r="D6">
        <v>1.07</v>
      </c>
      <c r="E6">
        <v>61</v>
      </c>
      <c r="F6">
        <v>6.26</v>
      </c>
      <c r="G6">
        <v>0.17</v>
      </c>
    </row>
    <row r="7" spans="1:15">
      <c r="A7" s="196" t="s">
        <v>995</v>
      </c>
      <c r="B7">
        <v>50</v>
      </c>
      <c r="C7">
        <v>77.2</v>
      </c>
      <c r="D7">
        <v>20.59</v>
      </c>
      <c r="E7">
        <v>50</v>
      </c>
      <c r="F7">
        <v>53.69</v>
      </c>
      <c r="G7">
        <v>13.87</v>
      </c>
    </row>
    <row r="8" spans="1:15">
      <c r="A8" s="196" t="s">
        <v>1307</v>
      </c>
      <c r="B8">
        <v>45</v>
      </c>
      <c r="C8">
        <v>36.4</v>
      </c>
      <c r="D8">
        <v>18.5</v>
      </c>
      <c r="E8">
        <v>38</v>
      </c>
      <c r="F8">
        <v>35.200000000000003</v>
      </c>
      <c r="G8">
        <v>14.1</v>
      </c>
    </row>
    <row r="9" spans="1:15">
      <c r="A9" s="196" t="s">
        <v>1306</v>
      </c>
      <c r="B9">
        <v>31</v>
      </c>
      <c r="C9">
        <v>12.82</v>
      </c>
      <c r="D9">
        <v>3.84</v>
      </c>
      <c r="E9">
        <v>22</v>
      </c>
      <c r="F9">
        <v>17.68</v>
      </c>
      <c r="G9">
        <v>3.83</v>
      </c>
    </row>
    <row r="10" spans="1:15">
      <c r="A10" s="196" t="s">
        <v>248</v>
      </c>
      <c r="B10">
        <v>50</v>
      </c>
      <c r="C10">
        <v>1.63</v>
      </c>
      <c r="D10">
        <v>2.3199999999999998</v>
      </c>
      <c r="E10">
        <v>90</v>
      </c>
      <c r="F10">
        <v>0.35</v>
      </c>
      <c r="G10">
        <v>0.31</v>
      </c>
    </row>
    <row r="11" spans="1:15">
      <c r="A11" s="196" t="s">
        <v>1391</v>
      </c>
      <c r="B11">
        <v>87</v>
      </c>
      <c r="C11">
        <v>11.21</v>
      </c>
      <c r="D11">
        <v>8.4600000000000009</v>
      </c>
      <c r="E11">
        <v>87</v>
      </c>
      <c r="F11">
        <v>5.99</v>
      </c>
      <c r="G11">
        <v>2.31</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B6F4-26C9-A34F-AEF8-62D6C46D08E3}">
  <dimension ref="A1:G9"/>
  <sheetViews>
    <sheetView zoomScale="130" zoomScaleNormal="130" workbookViewId="0"/>
  </sheetViews>
  <sheetFormatPr baseColWidth="10" defaultRowHeight="16"/>
  <cols>
    <col min="1" max="1" width="19.6640625" customWidth="1"/>
    <col min="2" max="2" width="7.5" customWidth="1"/>
    <col min="5" max="5" width="7" customWidth="1"/>
  </cols>
  <sheetData>
    <row r="1" spans="1:7">
      <c r="A1" s="27" t="s">
        <v>1696</v>
      </c>
      <c r="B1" s="10" t="s">
        <v>222</v>
      </c>
      <c r="C1" s="28" t="s">
        <v>223</v>
      </c>
      <c r="D1" s="28" t="s">
        <v>224</v>
      </c>
      <c r="E1" s="28" t="s">
        <v>225</v>
      </c>
      <c r="F1" s="28" t="s">
        <v>226</v>
      </c>
      <c r="G1" s="28" t="s">
        <v>227</v>
      </c>
    </row>
    <row r="2" spans="1:7">
      <c r="A2" s="196" t="s">
        <v>299</v>
      </c>
      <c r="B2">
        <v>30</v>
      </c>
      <c r="C2">
        <v>5.9050000000000002</v>
      </c>
      <c r="D2">
        <v>2.6549999999999998</v>
      </c>
      <c r="E2">
        <v>32</v>
      </c>
      <c r="F2">
        <v>5.9530000000000003</v>
      </c>
      <c r="G2">
        <v>2.835</v>
      </c>
    </row>
    <row r="3" spans="1:7">
      <c r="A3" s="196" t="s">
        <v>360</v>
      </c>
      <c r="B3">
        <v>48</v>
      </c>
      <c r="C3">
        <v>97.29</v>
      </c>
      <c r="D3">
        <v>142.91</v>
      </c>
      <c r="E3">
        <v>63</v>
      </c>
      <c r="F3">
        <v>207.72</v>
      </c>
      <c r="G3">
        <v>180.17</v>
      </c>
    </row>
    <row r="4" spans="1:7">
      <c r="A4" s="196" t="s">
        <v>957</v>
      </c>
      <c r="B4">
        <v>54</v>
      </c>
      <c r="C4">
        <v>0.56000000000000005</v>
      </c>
      <c r="D4">
        <v>0.62</v>
      </c>
      <c r="E4">
        <v>60</v>
      </c>
      <c r="F4">
        <v>0.06</v>
      </c>
      <c r="G4">
        <v>0.44</v>
      </c>
    </row>
    <row r="5" spans="1:7">
      <c r="A5" s="196" t="s">
        <v>116</v>
      </c>
      <c r="B5">
        <v>59</v>
      </c>
      <c r="C5">
        <v>33.83</v>
      </c>
      <c r="D5">
        <v>4.1100000000000003</v>
      </c>
      <c r="E5">
        <v>61</v>
      </c>
      <c r="F5">
        <v>9.69</v>
      </c>
      <c r="G5">
        <v>0.17</v>
      </c>
    </row>
    <row r="6" spans="1:7">
      <c r="A6" s="196" t="s">
        <v>1377</v>
      </c>
      <c r="B6">
        <v>33</v>
      </c>
      <c r="C6">
        <v>151</v>
      </c>
      <c r="D6">
        <v>16.82</v>
      </c>
      <c r="E6">
        <v>33</v>
      </c>
      <c r="F6">
        <v>279.54000000000002</v>
      </c>
      <c r="G6">
        <v>39.01</v>
      </c>
    </row>
    <row r="7" spans="1:7">
      <c r="A7" s="196" t="s">
        <v>1306</v>
      </c>
      <c r="B7">
        <v>31</v>
      </c>
      <c r="C7">
        <v>116.04</v>
      </c>
      <c r="D7">
        <v>28.72</v>
      </c>
      <c r="E7">
        <v>22</v>
      </c>
      <c r="F7">
        <v>254.73</v>
      </c>
      <c r="G7">
        <v>75.34</v>
      </c>
    </row>
    <row r="8" spans="1:7">
      <c r="A8" s="196" t="s">
        <v>248</v>
      </c>
      <c r="B8">
        <v>50</v>
      </c>
      <c r="C8">
        <v>11.52</v>
      </c>
      <c r="D8">
        <v>11.15</v>
      </c>
      <c r="E8">
        <v>90</v>
      </c>
      <c r="F8">
        <v>2.89</v>
      </c>
      <c r="G8">
        <v>3.04</v>
      </c>
    </row>
    <row r="9" spans="1:7">
      <c r="A9" s="196" t="s">
        <v>940</v>
      </c>
      <c r="B9">
        <v>23</v>
      </c>
      <c r="C9">
        <v>29.08</v>
      </c>
      <c r="D9">
        <v>16.96</v>
      </c>
      <c r="E9">
        <v>23</v>
      </c>
      <c r="F9">
        <v>9.82</v>
      </c>
      <c r="G9">
        <v>1.49</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DDE6D-6302-444E-829B-B941E4F7A396}">
  <dimension ref="A1:G8"/>
  <sheetViews>
    <sheetView zoomScale="140" zoomScaleNormal="140" workbookViewId="0"/>
  </sheetViews>
  <sheetFormatPr baseColWidth="10" defaultRowHeight="16"/>
  <cols>
    <col min="1" max="1" width="19.6640625" customWidth="1"/>
    <col min="2" max="2" width="7.5" customWidth="1"/>
    <col min="5" max="5" width="7" customWidth="1"/>
  </cols>
  <sheetData>
    <row r="1" spans="1:7">
      <c r="A1" s="27" t="s">
        <v>1696</v>
      </c>
      <c r="B1" s="27" t="s">
        <v>222</v>
      </c>
      <c r="C1" s="27" t="s">
        <v>223</v>
      </c>
      <c r="D1" s="27" t="s">
        <v>224</v>
      </c>
      <c r="E1" s="27" t="s">
        <v>225</v>
      </c>
      <c r="F1" s="27" t="s">
        <v>226</v>
      </c>
      <c r="G1" s="27" t="s">
        <v>227</v>
      </c>
    </row>
    <row r="2" spans="1:7">
      <c r="A2" s="196" t="s">
        <v>299</v>
      </c>
      <c r="B2">
        <v>30</v>
      </c>
      <c r="C2">
        <v>19.657</v>
      </c>
      <c r="D2">
        <v>9.6340000000000003</v>
      </c>
      <c r="E2">
        <v>32</v>
      </c>
      <c r="F2">
        <v>19.829000000000001</v>
      </c>
      <c r="G2">
        <v>10.303000000000001</v>
      </c>
    </row>
    <row r="3" spans="1:7">
      <c r="A3" s="196" t="s">
        <v>360</v>
      </c>
      <c r="B3">
        <v>48</v>
      </c>
      <c r="C3">
        <v>94.14</v>
      </c>
      <c r="D3">
        <v>56.45</v>
      </c>
      <c r="E3">
        <v>63</v>
      </c>
      <c r="F3">
        <v>267.72000000000003</v>
      </c>
      <c r="G3">
        <v>113.52</v>
      </c>
    </row>
    <row r="4" spans="1:7">
      <c r="A4" s="196" t="s">
        <v>957</v>
      </c>
      <c r="B4">
        <v>54</v>
      </c>
      <c r="C4">
        <v>1.82</v>
      </c>
      <c r="D4">
        <v>0.28999999999999998</v>
      </c>
      <c r="E4">
        <v>60</v>
      </c>
      <c r="F4">
        <v>1.88</v>
      </c>
      <c r="G4">
        <v>0.34</v>
      </c>
    </row>
    <row r="5" spans="1:7">
      <c r="A5" s="196" t="s">
        <v>116</v>
      </c>
      <c r="B5">
        <v>59</v>
      </c>
      <c r="C5">
        <v>32.89</v>
      </c>
      <c r="D5">
        <v>3.92</v>
      </c>
      <c r="E5">
        <v>61</v>
      </c>
      <c r="F5">
        <v>16.47</v>
      </c>
      <c r="G5">
        <v>1.84</v>
      </c>
    </row>
    <row r="6" spans="1:7">
      <c r="A6" s="196" t="s">
        <v>1377</v>
      </c>
      <c r="B6">
        <v>33</v>
      </c>
      <c r="C6">
        <v>47.64</v>
      </c>
      <c r="D6">
        <v>4.4800000000000004</v>
      </c>
      <c r="E6">
        <v>33</v>
      </c>
      <c r="F6">
        <v>22.09</v>
      </c>
      <c r="G6">
        <v>2.34</v>
      </c>
    </row>
    <row r="7" spans="1:7">
      <c r="A7" s="196" t="s">
        <v>1354</v>
      </c>
      <c r="B7">
        <v>18</v>
      </c>
      <c r="C7">
        <v>10.92</v>
      </c>
      <c r="D7">
        <v>1.04</v>
      </c>
      <c r="E7">
        <v>3</v>
      </c>
      <c r="F7">
        <v>82.1</v>
      </c>
      <c r="G7">
        <v>124.39</v>
      </c>
    </row>
    <row r="8" spans="1:7">
      <c r="A8" s="196" t="s">
        <v>248</v>
      </c>
      <c r="B8">
        <v>50</v>
      </c>
      <c r="C8">
        <v>43.95</v>
      </c>
      <c r="D8">
        <v>47.74</v>
      </c>
      <c r="E8">
        <v>90</v>
      </c>
      <c r="F8">
        <v>11.65</v>
      </c>
      <c r="G8">
        <v>9.56</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587A6-BA72-6241-8FB0-A7A09BB21BAC}">
  <dimension ref="A1:G4"/>
  <sheetViews>
    <sheetView zoomScale="140" zoomScaleNormal="140" workbookViewId="0"/>
  </sheetViews>
  <sheetFormatPr baseColWidth="10" defaultRowHeight="16"/>
  <cols>
    <col min="1" max="1" width="19.6640625" customWidth="1"/>
    <col min="2" max="2" width="7.5" customWidth="1"/>
    <col min="5" max="5" width="7" customWidth="1"/>
  </cols>
  <sheetData>
    <row r="1" spans="1:7">
      <c r="A1" s="27" t="s">
        <v>1696</v>
      </c>
      <c r="B1" s="24" t="s">
        <v>222</v>
      </c>
      <c r="C1" s="24" t="s">
        <v>223</v>
      </c>
      <c r="D1" s="24" t="s">
        <v>224</v>
      </c>
      <c r="E1" s="24" t="s">
        <v>225</v>
      </c>
      <c r="F1" s="24" t="s">
        <v>226</v>
      </c>
      <c r="G1" s="24" t="s">
        <v>227</v>
      </c>
    </row>
    <row r="2" spans="1:7">
      <c r="A2" s="196" t="s">
        <v>957</v>
      </c>
      <c r="B2">
        <v>54</v>
      </c>
      <c r="C2">
        <v>0.99</v>
      </c>
      <c r="D2">
        <v>0.41</v>
      </c>
      <c r="E2">
        <v>60</v>
      </c>
      <c r="F2">
        <v>0.66</v>
      </c>
      <c r="G2">
        <v>0.4</v>
      </c>
    </row>
    <row r="3" spans="1:7">
      <c r="A3" s="196" t="s">
        <v>116</v>
      </c>
      <c r="B3">
        <v>59</v>
      </c>
      <c r="C3">
        <v>2</v>
      </c>
      <c r="D3">
        <v>0.1</v>
      </c>
      <c r="E3">
        <v>61</v>
      </c>
      <c r="F3">
        <v>3.18</v>
      </c>
      <c r="G3">
        <v>0.11</v>
      </c>
    </row>
    <row r="4" spans="1:7">
      <c r="A4" s="196" t="s">
        <v>248</v>
      </c>
      <c r="B4">
        <v>50</v>
      </c>
      <c r="C4">
        <v>8.6199999999999992</v>
      </c>
      <c r="D4">
        <v>9.32</v>
      </c>
      <c r="E4">
        <v>90</v>
      </c>
      <c r="F4">
        <v>2.89</v>
      </c>
      <c r="G4">
        <v>4.03</v>
      </c>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1F0BC-87D0-804B-8AA2-2BDA2CFA05C8}">
  <dimension ref="A1:G11"/>
  <sheetViews>
    <sheetView zoomScale="140" zoomScaleNormal="140" workbookViewId="0"/>
  </sheetViews>
  <sheetFormatPr baseColWidth="10" defaultRowHeight="16"/>
  <cols>
    <col min="1" max="1" width="19.6640625" customWidth="1"/>
    <col min="2" max="2" width="7.5" customWidth="1"/>
    <col min="5" max="5" width="7" customWidth="1"/>
  </cols>
  <sheetData>
    <row r="1" spans="1:7">
      <c r="A1" s="27" t="s">
        <v>1696</v>
      </c>
      <c r="B1" s="10" t="s">
        <v>222</v>
      </c>
      <c r="C1" s="10" t="s">
        <v>223</v>
      </c>
      <c r="D1" s="10" t="s">
        <v>224</v>
      </c>
      <c r="E1" s="10" t="s">
        <v>225</v>
      </c>
      <c r="F1" s="10" t="s">
        <v>226</v>
      </c>
      <c r="G1" s="10" t="s">
        <v>227</v>
      </c>
    </row>
    <row r="2" spans="1:7">
      <c r="A2" s="196" t="s">
        <v>360</v>
      </c>
      <c r="B2">
        <v>48</v>
      </c>
      <c r="C2">
        <v>378.52</v>
      </c>
      <c r="D2">
        <v>140.43</v>
      </c>
      <c r="E2">
        <v>63</v>
      </c>
      <c r="F2">
        <v>226.83</v>
      </c>
      <c r="G2">
        <v>45.06</v>
      </c>
    </row>
    <row r="3" spans="1:7">
      <c r="A3" s="196" t="s">
        <v>262</v>
      </c>
      <c r="B3">
        <v>28</v>
      </c>
      <c r="C3">
        <v>15.6</v>
      </c>
      <c r="D3">
        <v>28.4</v>
      </c>
      <c r="E3">
        <v>15</v>
      </c>
      <c r="F3">
        <v>9.6</v>
      </c>
      <c r="G3">
        <v>11.3</v>
      </c>
    </row>
    <row r="4" spans="1:7">
      <c r="A4" s="196" t="s">
        <v>987</v>
      </c>
      <c r="B4">
        <v>20</v>
      </c>
      <c r="C4">
        <v>0.84</v>
      </c>
      <c r="D4">
        <v>0.82299999999999995</v>
      </c>
      <c r="E4">
        <v>18</v>
      </c>
      <c r="F4">
        <v>0.73</v>
      </c>
      <c r="G4">
        <v>0.37</v>
      </c>
    </row>
    <row r="5" spans="1:7">
      <c r="A5" s="196" t="s">
        <v>116</v>
      </c>
      <c r="B5">
        <v>59</v>
      </c>
      <c r="C5">
        <v>11.42</v>
      </c>
      <c r="D5">
        <v>2.2599999999999998</v>
      </c>
      <c r="E5">
        <v>61</v>
      </c>
      <c r="F5">
        <v>1.6</v>
      </c>
      <c r="G5">
        <v>0.2</v>
      </c>
    </row>
    <row r="6" spans="1:7">
      <c r="A6" s="196" t="s">
        <v>995</v>
      </c>
      <c r="B6">
        <v>50</v>
      </c>
      <c r="C6">
        <v>35.130000000000003</v>
      </c>
      <c r="D6">
        <v>8.52</v>
      </c>
      <c r="E6">
        <v>50</v>
      </c>
      <c r="F6">
        <v>24.26</v>
      </c>
      <c r="G6">
        <v>5.36</v>
      </c>
    </row>
    <row r="7" spans="1:7">
      <c r="A7" s="196" t="s">
        <v>1307</v>
      </c>
      <c r="B7">
        <v>46</v>
      </c>
      <c r="C7">
        <v>132.4</v>
      </c>
      <c r="D7">
        <v>83.2</v>
      </c>
      <c r="E7">
        <v>41</v>
      </c>
      <c r="F7">
        <v>129.30000000000001</v>
      </c>
      <c r="G7">
        <v>61.6</v>
      </c>
    </row>
    <row r="8" spans="1:7">
      <c r="A8" s="196" t="s">
        <v>1228</v>
      </c>
      <c r="B8">
        <v>16</v>
      </c>
      <c r="C8">
        <v>12.38</v>
      </c>
      <c r="D8">
        <v>19.8</v>
      </c>
      <c r="E8">
        <v>16</v>
      </c>
      <c r="F8">
        <v>12.25</v>
      </c>
      <c r="G8">
        <v>21.12</v>
      </c>
    </row>
    <row r="9" spans="1:7">
      <c r="A9" s="196" t="s">
        <v>1402</v>
      </c>
      <c r="B9">
        <v>64</v>
      </c>
      <c r="C9">
        <v>1.39</v>
      </c>
      <c r="D9">
        <v>0.35</v>
      </c>
      <c r="E9">
        <v>80</v>
      </c>
      <c r="F9">
        <v>0.45</v>
      </c>
      <c r="G9">
        <v>0.28000000000000003</v>
      </c>
    </row>
    <row r="10" spans="1:7">
      <c r="A10" s="196" t="s">
        <v>248</v>
      </c>
      <c r="B10">
        <v>50</v>
      </c>
      <c r="C10">
        <v>7.15</v>
      </c>
      <c r="D10">
        <v>7.49</v>
      </c>
      <c r="E10">
        <v>90</v>
      </c>
      <c r="F10">
        <v>2.27</v>
      </c>
      <c r="G10">
        <v>2.58</v>
      </c>
    </row>
    <row r="11" spans="1:7">
      <c r="A11" s="196" t="s">
        <v>957</v>
      </c>
      <c r="B11">
        <v>54</v>
      </c>
      <c r="C11">
        <v>-0.31</v>
      </c>
      <c r="D11">
        <v>0.7</v>
      </c>
      <c r="E11">
        <v>60</v>
      </c>
      <c r="F11">
        <v>0.28000000000000003</v>
      </c>
      <c r="G11">
        <v>0.54</v>
      </c>
    </row>
  </sheetData>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8448-35AF-3B47-BE47-CAAE4515589F}">
  <dimension ref="A1:G9"/>
  <sheetViews>
    <sheetView zoomScale="140" zoomScaleNormal="140" workbookViewId="0"/>
  </sheetViews>
  <sheetFormatPr baseColWidth="10" defaultRowHeight="16"/>
  <cols>
    <col min="1" max="1" width="19.6640625" customWidth="1"/>
    <col min="2" max="2" width="7.5" customWidth="1"/>
    <col min="5" max="5" width="7" customWidth="1"/>
  </cols>
  <sheetData>
    <row r="1" spans="1:7">
      <c r="A1" s="27" t="s">
        <v>1696</v>
      </c>
      <c r="B1" s="24" t="s">
        <v>222</v>
      </c>
      <c r="C1" s="24" t="s">
        <v>223</v>
      </c>
      <c r="D1" s="24" t="s">
        <v>224</v>
      </c>
      <c r="E1" s="24" t="s">
        <v>225</v>
      </c>
      <c r="F1" s="24" t="s">
        <v>226</v>
      </c>
      <c r="G1" s="24" t="s">
        <v>227</v>
      </c>
    </row>
    <row r="2" spans="1:7">
      <c r="A2" s="196" t="s">
        <v>957</v>
      </c>
      <c r="B2">
        <v>54</v>
      </c>
      <c r="C2">
        <v>0.61</v>
      </c>
      <c r="D2">
        <v>0.28999999999999998</v>
      </c>
      <c r="E2">
        <v>60</v>
      </c>
      <c r="F2">
        <v>0.51</v>
      </c>
      <c r="G2">
        <v>0.39</v>
      </c>
    </row>
    <row r="3" spans="1:7">
      <c r="A3" s="196" t="s">
        <v>262</v>
      </c>
      <c r="B3">
        <v>28</v>
      </c>
      <c r="C3">
        <v>110</v>
      </c>
      <c r="D3">
        <v>147</v>
      </c>
      <c r="E3">
        <v>15</v>
      </c>
      <c r="F3">
        <v>60</v>
      </c>
      <c r="G3">
        <v>68</v>
      </c>
    </row>
    <row r="4" spans="1:7">
      <c r="A4" s="196" t="s">
        <v>270</v>
      </c>
      <c r="B4">
        <v>66</v>
      </c>
      <c r="C4">
        <v>10.01</v>
      </c>
      <c r="D4">
        <v>7.2</v>
      </c>
      <c r="E4">
        <v>22</v>
      </c>
      <c r="F4">
        <v>15.65</v>
      </c>
      <c r="G4">
        <v>10.7</v>
      </c>
    </row>
    <row r="5" spans="1:7">
      <c r="A5" s="196" t="s">
        <v>116</v>
      </c>
      <c r="B5">
        <v>59</v>
      </c>
      <c r="C5">
        <v>569.48</v>
      </c>
      <c r="D5">
        <v>91.57</v>
      </c>
      <c r="E5">
        <v>61</v>
      </c>
      <c r="F5">
        <v>24.16</v>
      </c>
      <c r="G5">
        <v>2.71</v>
      </c>
    </row>
    <row r="6" spans="1:7">
      <c r="A6" s="196" t="s">
        <v>1257</v>
      </c>
      <c r="B6">
        <v>100</v>
      </c>
      <c r="C6">
        <v>6.31</v>
      </c>
      <c r="D6">
        <v>1.95</v>
      </c>
      <c r="E6">
        <v>45</v>
      </c>
      <c r="F6">
        <v>7.74</v>
      </c>
      <c r="G6">
        <v>1.95</v>
      </c>
    </row>
    <row r="7" spans="1:7">
      <c r="A7" s="196" t="s">
        <v>1242</v>
      </c>
      <c r="B7">
        <v>28</v>
      </c>
      <c r="C7">
        <v>6.54</v>
      </c>
      <c r="D7">
        <v>2.13</v>
      </c>
      <c r="E7">
        <v>45</v>
      </c>
      <c r="F7">
        <v>6.89</v>
      </c>
      <c r="G7">
        <v>2.2000000000000002</v>
      </c>
    </row>
    <row r="8" spans="1:7">
      <c r="A8" s="196" t="s">
        <v>248</v>
      </c>
      <c r="B8">
        <v>50</v>
      </c>
      <c r="C8">
        <v>14.53</v>
      </c>
      <c r="D8">
        <v>18.93</v>
      </c>
      <c r="E8">
        <v>90</v>
      </c>
      <c r="F8">
        <v>4.53</v>
      </c>
      <c r="G8">
        <v>4.38</v>
      </c>
    </row>
    <row r="9" spans="1:7">
      <c r="A9" s="196" t="s">
        <v>940</v>
      </c>
      <c r="B9">
        <v>23</v>
      </c>
      <c r="C9">
        <v>451.24</v>
      </c>
      <c r="D9">
        <v>383.24</v>
      </c>
      <c r="E9">
        <v>23</v>
      </c>
      <c r="F9">
        <v>26</v>
      </c>
      <c r="G9">
        <v>21.29</v>
      </c>
    </row>
  </sheetData>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9041F-EBEB-2A44-B518-A8C8460EBEC3}">
  <dimension ref="A1:G8"/>
  <sheetViews>
    <sheetView zoomScale="140" zoomScaleNormal="140" workbookViewId="0"/>
  </sheetViews>
  <sheetFormatPr baseColWidth="10" defaultRowHeight="16"/>
  <cols>
    <col min="1" max="1" width="19.6640625" customWidth="1"/>
    <col min="2" max="2" width="7.5" customWidth="1"/>
    <col min="5" max="5" width="7" customWidth="1"/>
  </cols>
  <sheetData>
    <row r="1" spans="1:7">
      <c r="A1" s="27" t="s">
        <v>1696</v>
      </c>
      <c r="B1" s="27" t="s">
        <v>222</v>
      </c>
      <c r="C1" s="27" t="s">
        <v>223</v>
      </c>
      <c r="D1" s="27" t="s">
        <v>224</v>
      </c>
      <c r="E1" s="27" t="s">
        <v>225</v>
      </c>
      <c r="F1" s="27" t="s">
        <v>226</v>
      </c>
      <c r="G1" s="27" t="s">
        <v>227</v>
      </c>
    </row>
    <row r="2" spans="1:7">
      <c r="A2" s="196" t="s">
        <v>299</v>
      </c>
      <c r="B2">
        <v>30</v>
      </c>
      <c r="C2">
        <v>9.1270000000000007</v>
      </c>
      <c r="D2">
        <v>4.2859999999999996</v>
      </c>
      <c r="E2">
        <v>32</v>
      </c>
      <c r="F2">
        <v>9.5790000000000006</v>
      </c>
      <c r="G2">
        <v>5.2220000000000004</v>
      </c>
    </row>
    <row r="3" spans="1:7">
      <c r="A3" s="196" t="s">
        <v>957</v>
      </c>
      <c r="B3">
        <v>54</v>
      </c>
      <c r="C3">
        <v>1.46</v>
      </c>
      <c r="D3">
        <v>0.46</v>
      </c>
      <c r="E3">
        <v>60</v>
      </c>
      <c r="F3">
        <v>1.0900000000000001</v>
      </c>
      <c r="G3">
        <v>0.44</v>
      </c>
    </row>
    <row r="4" spans="1:7">
      <c r="A4" s="196" t="s">
        <v>987</v>
      </c>
      <c r="B4">
        <v>20</v>
      </c>
      <c r="C4">
        <v>0.4</v>
      </c>
      <c r="D4">
        <v>0.66</v>
      </c>
      <c r="E4">
        <v>18</v>
      </c>
      <c r="F4">
        <v>0.55000000000000004</v>
      </c>
      <c r="G4">
        <v>0.61</v>
      </c>
    </row>
    <row r="5" spans="1:7">
      <c r="A5" s="196" t="s">
        <v>116</v>
      </c>
      <c r="B5">
        <v>59</v>
      </c>
      <c r="C5">
        <v>3.16</v>
      </c>
      <c r="D5">
        <v>0.41</v>
      </c>
      <c r="E5">
        <v>61</v>
      </c>
      <c r="F5">
        <v>1.94</v>
      </c>
      <c r="G5">
        <v>0.21</v>
      </c>
    </row>
    <row r="6" spans="1:7">
      <c r="A6" s="196" t="s">
        <v>995</v>
      </c>
      <c r="B6">
        <v>50</v>
      </c>
      <c r="C6">
        <v>468.37</v>
      </c>
      <c r="D6">
        <v>104.42</v>
      </c>
      <c r="E6">
        <v>50</v>
      </c>
      <c r="F6">
        <v>325.13</v>
      </c>
      <c r="G6">
        <v>99.19</v>
      </c>
    </row>
    <row r="7" spans="1:7">
      <c r="A7" s="196" t="s">
        <v>1306</v>
      </c>
      <c r="B7">
        <v>31</v>
      </c>
      <c r="C7">
        <v>777.23</v>
      </c>
      <c r="D7">
        <v>90.64</v>
      </c>
      <c r="E7">
        <v>22</v>
      </c>
      <c r="F7">
        <v>542.32000000000005</v>
      </c>
      <c r="G7">
        <v>81.63</v>
      </c>
    </row>
    <row r="8" spans="1:7">
      <c r="A8" s="196" t="s">
        <v>248</v>
      </c>
      <c r="B8">
        <v>50</v>
      </c>
      <c r="C8">
        <v>9.06</v>
      </c>
      <c r="D8">
        <v>9.0500000000000007</v>
      </c>
      <c r="E8">
        <v>90</v>
      </c>
      <c r="F8">
        <v>2.9</v>
      </c>
      <c r="G8">
        <v>3.19</v>
      </c>
    </row>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3512-A053-4C44-B5CB-995E0550A33B}">
  <dimension ref="A1:G5"/>
  <sheetViews>
    <sheetView zoomScale="130" zoomScaleNormal="130" workbookViewId="0"/>
  </sheetViews>
  <sheetFormatPr baseColWidth="10" defaultRowHeight="16"/>
  <cols>
    <col min="1" max="1" width="19.6640625" customWidth="1"/>
    <col min="2" max="2" width="7.5" customWidth="1"/>
    <col min="5" max="5" width="7" customWidth="1"/>
  </cols>
  <sheetData>
    <row r="1" spans="1:7">
      <c r="A1" s="27" t="s">
        <v>1696</v>
      </c>
      <c r="B1" s="24" t="s">
        <v>222</v>
      </c>
      <c r="C1" s="24" t="s">
        <v>223</v>
      </c>
      <c r="D1" s="24" t="s">
        <v>224</v>
      </c>
      <c r="E1" s="24" t="s">
        <v>225</v>
      </c>
      <c r="F1" s="24" t="s">
        <v>226</v>
      </c>
      <c r="G1" s="24" t="s">
        <v>227</v>
      </c>
    </row>
    <row r="2" spans="1:7">
      <c r="A2" s="196" t="s">
        <v>957</v>
      </c>
      <c r="B2">
        <v>54</v>
      </c>
      <c r="C2">
        <v>0.6</v>
      </c>
      <c r="D2">
        <v>0.56000000000000005</v>
      </c>
      <c r="E2">
        <v>60</v>
      </c>
      <c r="F2">
        <v>0.4</v>
      </c>
      <c r="G2">
        <v>0.45</v>
      </c>
    </row>
    <row r="3" spans="1:7">
      <c r="A3" s="196" t="s">
        <v>116</v>
      </c>
      <c r="B3">
        <v>59</v>
      </c>
      <c r="C3">
        <v>241.83</v>
      </c>
      <c r="D3">
        <v>6.23</v>
      </c>
      <c r="E3">
        <v>61</v>
      </c>
      <c r="F3">
        <v>216.87</v>
      </c>
      <c r="G3">
        <v>4.04</v>
      </c>
    </row>
    <row r="4" spans="1:7">
      <c r="A4" s="196" t="s">
        <v>1377</v>
      </c>
      <c r="B4">
        <v>33</v>
      </c>
      <c r="C4">
        <v>4448.72</v>
      </c>
      <c r="D4">
        <v>426.38</v>
      </c>
      <c r="E4">
        <v>33</v>
      </c>
      <c r="F4">
        <v>2361.1799999999998</v>
      </c>
      <c r="G4">
        <v>200.24</v>
      </c>
    </row>
    <row r="5" spans="1:7">
      <c r="A5" s="196" t="s">
        <v>1306</v>
      </c>
      <c r="B5">
        <v>31</v>
      </c>
      <c r="C5">
        <v>3658.59</v>
      </c>
      <c r="D5">
        <v>684.75</v>
      </c>
      <c r="E5">
        <v>22</v>
      </c>
      <c r="F5">
        <v>1714.65</v>
      </c>
      <c r="G5">
        <v>186.63</v>
      </c>
    </row>
  </sheetData>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BE3C6-FDF8-9A45-9311-3A01A9DD6696}">
  <dimension ref="A1:G10"/>
  <sheetViews>
    <sheetView zoomScale="130" zoomScaleNormal="130" workbookViewId="0"/>
  </sheetViews>
  <sheetFormatPr baseColWidth="10" defaultRowHeight="16"/>
  <cols>
    <col min="1" max="1" width="19.6640625" customWidth="1"/>
    <col min="2" max="2" width="7.5" customWidth="1"/>
    <col min="5" max="5" width="7" customWidth="1"/>
  </cols>
  <sheetData>
    <row r="1" spans="1:7">
      <c r="A1" s="27" t="s">
        <v>1696</v>
      </c>
      <c r="B1" s="24" t="s">
        <v>222</v>
      </c>
      <c r="C1" s="24" t="s">
        <v>223</v>
      </c>
      <c r="D1" s="24" t="s">
        <v>224</v>
      </c>
      <c r="E1" s="24" t="s">
        <v>225</v>
      </c>
      <c r="F1" s="24" t="s">
        <v>226</v>
      </c>
      <c r="G1" s="24" t="s">
        <v>227</v>
      </c>
    </row>
    <row r="2" spans="1:7">
      <c r="A2" s="196" t="s">
        <v>299</v>
      </c>
      <c r="B2">
        <v>30</v>
      </c>
      <c r="C2">
        <v>2.331</v>
      </c>
      <c r="D2">
        <v>1.1839999999999999</v>
      </c>
      <c r="E2">
        <v>32</v>
      </c>
      <c r="F2">
        <v>4.8680000000000003</v>
      </c>
      <c r="G2">
        <v>2.5049999999999999</v>
      </c>
    </row>
    <row r="3" spans="1:7">
      <c r="A3" s="196" t="s">
        <v>940</v>
      </c>
      <c r="B3">
        <v>23</v>
      </c>
      <c r="C3">
        <v>15.86</v>
      </c>
      <c r="D3">
        <v>4.08</v>
      </c>
      <c r="E3">
        <v>23</v>
      </c>
      <c r="F3">
        <v>10.36</v>
      </c>
      <c r="G3">
        <v>2.39</v>
      </c>
    </row>
    <row r="4" spans="1:7">
      <c r="A4" s="196" t="s">
        <v>360</v>
      </c>
      <c r="B4">
        <v>48</v>
      </c>
      <c r="C4">
        <v>373.9</v>
      </c>
      <c r="D4">
        <v>292.72000000000003</v>
      </c>
      <c r="E4">
        <v>63</v>
      </c>
      <c r="F4">
        <v>467.76</v>
      </c>
      <c r="G4">
        <v>262.79000000000002</v>
      </c>
    </row>
    <row r="5" spans="1:7">
      <c r="A5" s="196" t="s">
        <v>957</v>
      </c>
      <c r="B5">
        <v>54</v>
      </c>
      <c r="C5">
        <v>1.23</v>
      </c>
      <c r="D5">
        <v>0.3</v>
      </c>
      <c r="E5">
        <v>60</v>
      </c>
      <c r="F5">
        <v>1</v>
      </c>
      <c r="G5">
        <v>0.28000000000000003</v>
      </c>
    </row>
    <row r="6" spans="1:7">
      <c r="A6" s="196" t="s">
        <v>1377</v>
      </c>
      <c r="B6">
        <v>33</v>
      </c>
      <c r="C6">
        <v>7.81</v>
      </c>
      <c r="D6">
        <v>0.71</v>
      </c>
      <c r="E6">
        <v>33</v>
      </c>
      <c r="F6">
        <v>12.95</v>
      </c>
      <c r="G6">
        <v>0.48</v>
      </c>
    </row>
    <row r="7" spans="1:7">
      <c r="A7" s="196" t="s">
        <v>1354</v>
      </c>
      <c r="B7">
        <v>18</v>
      </c>
      <c r="C7">
        <v>41.28</v>
      </c>
      <c r="D7">
        <v>20.2</v>
      </c>
      <c r="E7">
        <v>3</v>
      </c>
      <c r="F7">
        <v>21.67</v>
      </c>
      <c r="G7">
        <v>20.73</v>
      </c>
    </row>
    <row r="8" spans="1:7">
      <c r="A8" s="196" t="s">
        <v>1307</v>
      </c>
      <c r="B8">
        <v>46</v>
      </c>
      <c r="C8">
        <v>197.4</v>
      </c>
      <c r="D8">
        <v>230.8</v>
      </c>
      <c r="E8">
        <v>36</v>
      </c>
      <c r="F8">
        <v>148.4</v>
      </c>
      <c r="G8">
        <v>149.80000000000001</v>
      </c>
    </row>
    <row r="9" spans="1:7">
      <c r="A9" s="196" t="s">
        <v>1306</v>
      </c>
      <c r="B9">
        <v>31</v>
      </c>
      <c r="C9">
        <v>54.93</v>
      </c>
      <c r="D9">
        <v>19.690000000000001</v>
      </c>
      <c r="E9">
        <v>22</v>
      </c>
      <c r="F9">
        <v>86.29</v>
      </c>
      <c r="G9">
        <v>15.58</v>
      </c>
    </row>
    <row r="10" spans="1:7">
      <c r="A10" s="196" t="s">
        <v>248</v>
      </c>
      <c r="B10">
        <v>50</v>
      </c>
      <c r="C10">
        <v>8</v>
      </c>
      <c r="D10">
        <v>7.6</v>
      </c>
      <c r="E10">
        <v>90</v>
      </c>
      <c r="F10">
        <v>2.82</v>
      </c>
      <c r="G10">
        <v>2.65</v>
      </c>
    </row>
  </sheetData>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14D9-B377-8245-BDE7-678071BDE9A9}">
  <dimension ref="A1:G17"/>
  <sheetViews>
    <sheetView zoomScale="130" zoomScaleNormal="130" workbookViewId="0"/>
  </sheetViews>
  <sheetFormatPr baseColWidth="10" defaultRowHeight="16"/>
  <cols>
    <col min="1" max="1" width="19.6640625" customWidth="1"/>
    <col min="2" max="2" width="7.5" customWidth="1"/>
    <col min="5" max="5" width="7" customWidth="1"/>
  </cols>
  <sheetData>
    <row r="1" spans="1:7">
      <c r="A1" s="27" t="s">
        <v>1696</v>
      </c>
      <c r="B1" s="27" t="s">
        <v>222</v>
      </c>
      <c r="C1" s="27" t="s">
        <v>223</v>
      </c>
      <c r="D1" s="27" t="s">
        <v>224</v>
      </c>
      <c r="E1" s="27" t="s">
        <v>225</v>
      </c>
      <c r="F1" s="27" t="s">
        <v>226</v>
      </c>
      <c r="G1" s="27" t="s">
        <v>227</v>
      </c>
    </row>
    <row r="2" spans="1:7">
      <c r="A2" s="196" t="s">
        <v>299</v>
      </c>
      <c r="B2">
        <v>30</v>
      </c>
      <c r="C2">
        <v>202.56</v>
      </c>
      <c r="D2">
        <v>86.13</v>
      </c>
      <c r="E2">
        <v>32</v>
      </c>
      <c r="F2">
        <v>267.37</v>
      </c>
      <c r="G2">
        <v>158.44</v>
      </c>
    </row>
    <row r="3" spans="1:7">
      <c r="A3" s="196" t="s">
        <v>940</v>
      </c>
      <c r="B3">
        <v>23</v>
      </c>
      <c r="C3">
        <v>4.5</v>
      </c>
      <c r="D3">
        <v>2.4300000000000002</v>
      </c>
      <c r="E3">
        <v>23</v>
      </c>
      <c r="F3">
        <v>2.88</v>
      </c>
      <c r="G3">
        <v>0.87</v>
      </c>
    </row>
    <row r="4" spans="1:7">
      <c r="A4" s="196" t="s">
        <v>360</v>
      </c>
      <c r="B4">
        <v>48</v>
      </c>
      <c r="C4">
        <v>689.86</v>
      </c>
      <c r="D4">
        <v>292.60000000000002</v>
      </c>
      <c r="E4">
        <v>63</v>
      </c>
      <c r="F4">
        <v>556.9</v>
      </c>
      <c r="G4">
        <v>178.51</v>
      </c>
    </row>
    <row r="5" spans="1:7">
      <c r="A5" s="196" t="s">
        <v>957</v>
      </c>
      <c r="B5">
        <v>54</v>
      </c>
      <c r="C5">
        <v>0.81</v>
      </c>
      <c r="D5">
        <v>0.24</v>
      </c>
      <c r="E5">
        <v>60</v>
      </c>
      <c r="F5">
        <v>0.73</v>
      </c>
      <c r="G5">
        <v>0.22</v>
      </c>
    </row>
    <row r="6" spans="1:7">
      <c r="A6" s="196" t="s">
        <v>262</v>
      </c>
      <c r="B6">
        <v>28</v>
      </c>
      <c r="C6">
        <v>33.4</v>
      </c>
      <c r="D6">
        <v>27.4</v>
      </c>
      <c r="E6">
        <v>15</v>
      </c>
      <c r="F6">
        <v>14.7</v>
      </c>
      <c r="G6">
        <v>8</v>
      </c>
    </row>
    <row r="7" spans="1:7">
      <c r="A7" s="196" t="s">
        <v>270</v>
      </c>
      <c r="B7">
        <v>66</v>
      </c>
      <c r="C7">
        <v>5.0199999999999996</v>
      </c>
      <c r="D7">
        <v>2.9</v>
      </c>
      <c r="E7">
        <v>22</v>
      </c>
      <c r="F7">
        <v>5.46</v>
      </c>
      <c r="G7">
        <v>3.7</v>
      </c>
    </row>
    <row r="8" spans="1:7">
      <c r="A8" s="196" t="s">
        <v>1013</v>
      </c>
      <c r="B8">
        <v>14</v>
      </c>
      <c r="C8">
        <v>23.9</v>
      </c>
      <c r="D8">
        <v>4.2</v>
      </c>
      <c r="E8">
        <v>17</v>
      </c>
      <c r="F8">
        <v>17.3</v>
      </c>
      <c r="G8">
        <v>1.2</v>
      </c>
    </row>
    <row r="9" spans="1:7">
      <c r="A9" s="196" t="s">
        <v>116</v>
      </c>
      <c r="B9">
        <v>59</v>
      </c>
      <c r="C9">
        <v>4.63</v>
      </c>
      <c r="D9">
        <v>0.39</v>
      </c>
      <c r="E9">
        <v>61</v>
      </c>
      <c r="F9">
        <v>2.67</v>
      </c>
      <c r="G9">
        <v>0.11</v>
      </c>
    </row>
    <row r="10" spans="1:7">
      <c r="A10" s="196" t="s">
        <v>995</v>
      </c>
      <c r="B10">
        <v>50</v>
      </c>
      <c r="C10">
        <v>51.42</v>
      </c>
      <c r="D10">
        <v>12.96</v>
      </c>
      <c r="E10">
        <v>50</v>
      </c>
      <c r="F10">
        <v>40.07</v>
      </c>
      <c r="G10">
        <v>10.44</v>
      </c>
    </row>
    <row r="11" spans="1:7">
      <c r="A11" s="196" t="s">
        <v>1333</v>
      </c>
      <c r="B11">
        <v>26</v>
      </c>
      <c r="C11">
        <v>9.08</v>
      </c>
      <c r="D11">
        <v>3.23</v>
      </c>
      <c r="E11">
        <v>17</v>
      </c>
      <c r="F11">
        <v>4.75</v>
      </c>
      <c r="G11">
        <v>1.29</v>
      </c>
    </row>
    <row r="12" spans="1:7">
      <c r="A12" s="196" t="s">
        <v>1257</v>
      </c>
      <c r="B12">
        <v>45</v>
      </c>
      <c r="C12">
        <v>5.7</v>
      </c>
      <c r="D12">
        <v>1.55</v>
      </c>
      <c r="E12">
        <v>100</v>
      </c>
      <c r="F12">
        <v>6.42</v>
      </c>
      <c r="G12">
        <v>1.94</v>
      </c>
    </row>
    <row r="13" spans="1:7">
      <c r="A13" s="196" t="s">
        <v>1242</v>
      </c>
      <c r="B13">
        <v>28</v>
      </c>
      <c r="C13">
        <v>6.55</v>
      </c>
      <c r="D13">
        <v>2.89</v>
      </c>
      <c r="E13">
        <v>45</v>
      </c>
      <c r="F13">
        <v>6.42</v>
      </c>
      <c r="G13">
        <v>1.94</v>
      </c>
    </row>
    <row r="14" spans="1:7">
      <c r="A14" s="196" t="s">
        <v>1402</v>
      </c>
      <c r="B14">
        <v>64</v>
      </c>
      <c r="C14">
        <v>4.6500000000000004</v>
      </c>
      <c r="D14">
        <v>1.58</v>
      </c>
      <c r="E14">
        <v>80</v>
      </c>
      <c r="F14">
        <v>2.2400000000000002</v>
      </c>
      <c r="G14">
        <v>1.44</v>
      </c>
    </row>
    <row r="15" spans="1:7">
      <c r="A15" s="196" t="s">
        <v>248</v>
      </c>
      <c r="B15">
        <v>50</v>
      </c>
      <c r="C15">
        <v>15.95</v>
      </c>
      <c r="D15">
        <v>15.43</v>
      </c>
      <c r="E15">
        <v>90</v>
      </c>
      <c r="F15">
        <v>4.82</v>
      </c>
      <c r="G15">
        <v>4.05</v>
      </c>
    </row>
    <row r="16" spans="1:7">
      <c r="A16" s="196" t="s">
        <v>1391</v>
      </c>
      <c r="B16">
        <v>87</v>
      </c>
      <c r="C16">
        <v>63.37</v>
      </c>
      <c r="D16">
        <v>49.64</v>
      </c>
      <c r="E16">
        <v>87</v>
      </c>
      <c r="F16">
        <v>28.22</v>
      </c>
      <c r="G16">
        <v>9.9600000000000009</v>
      </c>
    </row>
    <row r="17" spans="1:7">
      <c r="A17" s="196" t="s">
        <v>1412</v>
      </c>
      <c r="B17">
        <v>57</v>
      </c>
      <c r="C17">
        <v>7.7</v>
      </c>
      <c r="D17">
        <v>2.6</v>
      </c>
      <c r="E17">
        <v>30</v>
      </c>
      <c r="F17">
        <v>3.5</v>
      </c>
      <c r="G17">
        <v>0.7</v>
      </c>
    </row>
  </sheetData>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4D20A-F170-3644-ADDF-2B08ABF9064A}">
  <dimension ref="A1:G12"/>
  <sheetViews>
    <sheetView zoomScale="110" zoomScaleNormal="110" workbookViewId="0"/>
  </sheetViews>
  <sheetFormatPr baseColWidth="10" defaultRowHeight="16"/>
  <cols>
    <col min="1" max="1" width="19.6640625" customWidth="1"/>
    <col min="2" max="2" width="7.5" customWidth="1"/>
    <col min="5" max="5" width="7" customWidth="1"/>
  </cols>
  <sheetData>
    <row r="1" spans="1:7">
      <c r="A1" s="27" t="s">
        <v>1696</v>
      </c>
      <c r="B1" s="27" t="s">
        <v>222</v>
      </c>
      <c r="C1" s="27" t="s">
        <v>223</v>
      </c>
      <c r="D1" s="27" t="s">
        <v>224</v>
      </c>
      <c r="E1" s="27" t="s">
        <v>225</v>
      </c>
      <c r="F1" s="27" t="s">
        <v>226</v>
      </c>
      <c r="G1" s="27" t="s">
        <v>227</v>
      </c>
    </row>
    <row r="2" spans="1:7">
      <c r="A2" s="196" t="s">
        <v>299</v>
      </c>
      <c r="B2">
        <v>30</v>
      </c>
      <c r="C2">
        <v>16.32</v>
      </c>
      <c r="D2">
        <v>3.42</v>
      </c>
      <c r="E2">
        <v>30</v>
      </c>
      <c r="F2">
        <v>15.34</v>
      </c>
      <c r="G2">
        <v>3.04</v>
      </c>
    </row>
    <row r="3" spans="1:7">
      <c r="A3" s="196" t="s">
        <v>940</v>
      </c>
      <c r="B3">
        <v>23</v>
      </c>
      <c r="C3">
        <v>6.96</v>
      </c>
      <c r="D3">
        <v>3</v>
      </c>
      <c r="E3">
        <v>23</v>
      </c>
      <c r="F3">
        <v>8.36</v>
      </c>
      <c r="G3">
        <v>3.93</v>
      </c>
    </row>
    <row r="4" spans="1:7">
      <c r="A4" s="196" t="s">
        <v>957</v>
      </c>
      <c r="B4">
        <v>54</v>
      </c>
      <c r="C4">
        <v>0.06</v>
      </c>
      <c r="D4">
        <v>0.39</v>
      </c>
      <c r="E4">
        <v>54</v>
      </c>
      <c r="F4">
        <v>0.12</v>
      </c>
      <c r="G4">
        <v>0.43</v>
      </c>
    </row>
    <row r="5" spans="1:7">
      <c r="A5" s="196" t="s">
        <v>1013</v>
      </c>
      <c r="B5">
        <v>14</v>
      </c>
      <c r="C5">
        <v>8.9</v>
      </c>
      <c r="D5">
        <v>2</v>
      </c>
      <c r="E5">
        <v>14</v>
      </c>
      <c r="F5">
        <v>13</v>
      </c>
      <c r="G5">
        <v>3.7</v>
      </c>
    </row>
    <row r="6" spans="1:7">
      <c r="A6" s="196" t="s">
        <v>116</v>
      </c>
      <c r="B6">
        <v>59</v>
      </c>
      <c r="C6">
        <v>8.39</v>
      </c>
      <c r="D6">
        <v>0.95</v>
      </c>
      <c r="E6">
        <v>59</v>
      </c>
      <c r="F6">
        <v>9.48</v>
      </c>
      <c r="G6">
        <v>1.07</v>
      </c>
    </row>
    <row r="7" spans="1:7">
      <c r="A7" s="196" t="s">
        <v>995</v>
      </c>
      <c r="B7">
        <v>50</v>
      </c>
      <c r="C7">
        <v>71.44</v>
      </c>
      <c r="D7">
        <v>19.760000000000002</v>
      </c>
      <c r="E7">
        <v>50</v>
      </c>
      <c r="F7">
        <v>77.2</v>
      </c>
      <c r="G7">
        <v>20.59</v>
      </c>
    </row>
    <row r="8" spans="1:7">
      <c r="A8" s="196" t="s">
        <v>1307</v>
      </c>
      <c r="B8">
        <v>15</v>
      </c>
      <c r="C8">
        <v>50.6</v>
      </c>
      <c r="D8">
        <v>30.4</v>
      </c>
      <c r="E8">
        <v>23</v>
      </c>
      <c r="F8">
        <v>38.9</v>
      </c>
      <c r="G8">
        <v>18</v>
      </c>
    </row>
    <row r="9" spans="1:7">
      <c r="A9" s="196" t="s">
        <v>1306</v>
      </c>
      <c r="B9">
        <v>31</v>
      </c>
      <c r="C9">
        <v>12.82</v>
      </c>
      <c r="D9">
        <v>3.84</v>
      </c>
      <c r="E9">
        <v>31</v>
      </c>
      <c r="F9">
        <v>12.82</v>
      </c>
      <c r="G9">
        <v>3.84</v>
      </c>
    </row>
    <row r="10" spans="1:7">
      <c r="A10" s="196" t="s">
        <v>1082</v>
      </c>
      <c r="B10" s="197">
        <v>14</v>
      </c>
      <c r="C10" s="197">
        <v>4.7</v>
      </c>
      <c r="D10" s="197">
        <v>3.37</v>
      </c>
      <c r="E10" s="197">
        <v>14</v>
      </c>
      <c r="F10">
        <v>4.21</v>
      </c>
      <c r="G10">
        <v>2.97</v>
      </c>
    </row>
    <row r="11" spans="1:7">
      <c r="A11" s="196" t="s">
        <v>41</v>
      </c>
      <c r="B11">
        <v>102</v>
      </c>
      <c r="C11">
        <v>11.33</v>
      </c>
      <c r="D11">
        <v>5.49</v>
      </c>
      <c r="E11">
        <v>102</v>
      </c>
      <c r="F11">
        <v>11.09</v>
      </c>
      <c r="G11">
        <v>7.07</v>
      </c>
    </row>
    <row r="12" spans="1:7">
      <c r="A12" s="196" t="s">
        <v>248</v>
      </c>
      <c r="B12">
        <v>50</v>
      </c>
      <c r="C12">
        <v>0.89</v>
      </c>
      <c r="D12">
        <v>0.79</v>
      </c>
      <c r="E12">
        <v>50</v>
      </c>
      <c r="F12">
        <v>1.63</v>
      </c>
      <c r="G12">
        <v>2.3199999999999998</v>
      </c>
    </row>
  </sheetData>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9D86A-4D78-BF4B-BCE5-FA5F5A305813}">
  <dimension ref="A1:G9"/>
  <sheetViews>
    <sheetView zoomScale="130" zoomScaleNormal="130" workbookViewId="0"/>
  </sheetViews>
  <sheetFormatPr baseColWidth="10" defaultRowHeight="16"/>
  <cols>
    <col min="1" max="1" width="19.6640625" customWidth="1"/>
    <col min="2" max="2" width="7.5" customWidth="1"/>
    <col min="5" max="5" width="7" customWidth="1"/>
  </cols>
  <sheetData>
    <row r="1" spans="1:7">
      <c r="A1" s="27" t="s">
        <v>1696</v>
      </c>
      <c r="B1" s="10" t="s">
        <v>222</v>
      </c>
      <c r="C1" s="28" t="s">
        <v>223</v>
      </c>
      <c r="D1" s="28" t="s">
        <v>224</v>
      </c>
      <c r="E1" s="28" t="s">
        <v>225</v>
      </c>
      <c r="F1" s="28" t="s">
        <v>226</v>
      </c>
      <c r="G1" s="28" t="s">
        <v>227</v>
      </c>
    </row>
    <row r="2" spans="1:7">
      <c r="A2" s="196" t="s">
        <v>299</v>
      </c>
      <c r="B2">
        <v>30</v>
      </c>
      <c r="C2">
        <v>5.4509999999999996</v>
      </c>
      <c r="D2">
        <v>1.982</v>
      </c>
      <c r="E2">
        <v>30</v>
      </c>
      <c r="F2">
        <v>5.9050000000000002</v>
      </c>
      <c r="G2">
        <v>2.6549999999999998</v>
      </c>
    </row>
    <row r="3" spans="1:7">
      <c r="A3" s="196" t="s">
        <v>360</v>
      </c>
      <c r="B3">
        <v>32</v>
      </c>
      <c r="C3">
        <v>102.93</v>
      </c>
      <c r="D3">
        <v>211.28</v>
      </c>
      <c r="E3">
        <v>32</v>
      </c>
      <c r="F3">
        <v>118.04</v>
      </c>
      <c r="G3">
        <v>166.55</v>
      </c>
    </row>
    <row r="4" spans="1:7">
      <c r="A4" s="196" t="s">
        <v>957</v>
      </c>
      <c r="B4">
        <v>54</v>
      </c>
      <c r="C4">
        <v>0.08</v>
      </c>
      <c r="D4">
        <v>0.37</v>
      </c>
      <c r="E4">
        <v>54</v>
      </c>
      <c r="F4">
        <v>0.06</v>
      </c>
      <c r="G4">
        <v>0.44</v>
      </c>
    </row>
    <row r="5" spans="1:7">
      <c r="A5" s="196" t="s">
        <v>116</v>
      </c>
      <c r="B5">
        <v>59</v>
      </c>
      <c r="C5">
        <v>27.69</v>
      </c>
      <c r="D5">
        <v>3.58</v>
      </c>
      <c r="E5">
        <v>59</v>
      </c>
      <c r="F5">
        <v>33.83</v>
      </c>
      <c r="G5">
        <v>4.1100000000000003</v>
      </c>
    </row>
    <row r="6" spans="1:7">
      <c r="A6" s="196" t="s">
        <v>1306</v>
      </c>
      <c r="B6">
        <v>31</v>
      </c>
      <c r="C6">
        <v>182.26</v>
      </c>
      <c r="D6">
        <v>62.13</v>
      </c>
      <c r="E6">
        <v>31</v>
      </c>
      <c r="F6">
        <v>116.04</v>
      </c>
      <c r="G6">
        <v>28.72</v>
      </c>
    </row>
    <row r="7" spans="1:7">
      <c r="A7" s="196" t="s">
        <v>286</v>
      </c>
      <c r="B7">
        <v>30</v>
      </c>
      <c r="C7">
        <v>9</v>
      </c>
      <c r="D7">
        <v>7.77</v>
      </c>
      <c r="E7">
        <v>30</v>
      </c>
      <c r="F7">
        <v>16.329999999999998</v>
      </c>
      <c r="G7">
        <v>13.77</v>
      </c>
    </row>
    <row r="8" spans="1:7">
      <c r="A8" s="196" t="s">
        <v>95</v>
      </c>
      <c r="B8">
        <v>95</v>
      </c>
      <c r="C8">
        <v>52.78</v>
      </c>
      <c r="D8">
        <v>114.23</v>
      </c>
      <c r="E8">
        <v>95</v>
      </c>
      <c r="F8">
        <v>53.84</v>
      </c>
      <c r="G8">
        <v>115.89</v>
      </c>
    </row>
    <row r="9" spans="1:7">
      <c r="A9" s="196" t="s">
        <v>248</v>
      </c>
      <c r="B9">
        <v>50</v>
      </c>
      <c r="C9">
        <v>7.35</v>
      </c>
      <c r="D9">
        <v>5.46</v>
      </c>
      <c r="E9">
        <v>50</v>
      </c>
      <c r="F9">
        <v>11.52</v>
      </c>
      <c r="G9">
        <v>11.15</v>
      </c>
    </row>
  </sheetData>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6AD67-BDE6-BB4E-89C0-EF8D143D8646}">
  <dimension ref="A1:G11"/>
  <sheetViews>
    <sheetView zoomScale="130" zoomScaleNormal="130" workbookViewId="0"/>
  </sheetViews>
  <sheetFormatPr baseColWidth="10" defaultRowHeight="16"/>
  <cols>
    <col min="1" max="1" width="19.6640625" customWidth="1"/>
    <col min="2" max="2" width="7.5" customWidth="1"/>
    <col min="5" max="5" width="7" customWidth="1"/>
  </cols>
  <sheetData>
    <row r="1" spans="1:7">
      <c r="A1" s="27" t="s">
        <v>1696</v>
      </c>
      <c r="B1" s="27" t="s">
        <v>222</v>
      </c>
      <c r="C1" s="27" t="s">
        <v>223</v>
      </c>
      <c r="D1" s="27" t="s">
        <v>224</v>
      </c>
      <c r="E1" s="27" t="s">
        <v>225</v>
      </c>
      <c r="F1" s="27" t="s">
        <v>226</v>
      </c>
      <c r="G1" s="27" t="s">
        <v>227</v>
      </c>
    </row>
    <row r="2" spans="1:7">
      <c r="A2" s="196" t="s">
        <v>299</v>
      </c>
      <c r="B2">
        <v>30</v>
      </c>
      <c r="C2">
        <v>19.850000000000001</v>
      </c>
      <c r="D2">
        <v>8.52</v>
      </c>
      <c r="E2">
        <v>30</v>
      </c>
      <c r="F2">
        <v>19.649999999999999</v>
      </c>
      <c r="G2">
        <v>9.6300000000000008</v>
      </c>
    </row>
    <row r="3" spans="1:7">
      <c r="A3" s="196" t="s">
        <v>360</v>
      </c>
      <c r="B3">
        <v>32</v>
      </c>
      <c r="C3">
        <v>77.209999999999994</v>
      </c>
      <c r="D3">
        <v>65.7</v>
      </c>
      <c r="E3">
        <v>32</v>
      </c>
      <c r="F3">
        <v>76.959999999999994</v>
      </c>
      <c r="G3">
        <v>60.48</v>
      </c>
    </row>
    <row r="4" spans="1:7">
      <c r="A4" s="196" t="s">
        <v>957</v>
      </c>
      <c r="B4">
        <v>54</v>
      </c>
      <c r="C4">
        <v>1.86</v>
      </c>
      <c r="D4">
        <v>0.38</v>
      </c>
      <c r="E4">
        <v>54</v>
      </c>
      <c r="F4">
        <v>1.88</v>
      </c>
      <c r="G4">
        <v>0.34</v>
      </c>
    </row>
    <row r="5" spans="1:7">
      <c r="A5" s="196" t="s">
        <v>116</v>
      </c>
      <c r="B5">
        <v>59</v>
      </c>
      <c r="C5">
        <v>28.27</v>
      </c>
      <c r="D5">
        <v>3.06</v>
      </c>
      <c r="E5">
        <v>59</v>
      </c>
      <c r="F5">
        <v>32.89</v>
      </c>
      <c r="G5">
        <v>3.92</v>
      </c>
    </row>
    <row r="6" spans="1:7">
      <c r="A6" s="196" t="s">
        <v>1354</v>
      </c>
      <c r="B6">
        <v>10</v>
      </c>
      <c r="C6">
        <v>9.1999999999999993</v>
      </c>
      <c r="D6">
        <v>2.1</v>
      </c>
      <c r="E6">
        <v>10</v>
      </c>
      <c r="F6">
        <v>11.2</v>
      </c>
      <c r="G6">
        <v>7.2</v>
      </c>
    </row>
    <row r="7" spans="1:7">
      <c r="A7" s="196" t="s">
        <v>1306</v>
      </c>
      <c r="B7">
        <v>31</v>
      </c>
      <c r="C7">
        <v>33.299999999999997</v>
      </c>
      <c r="D7">
        <v>5.59</v>
      </c>
      <c r="E7">
        <v>31</v>
      </c>
      <c r="F7">
        <v>45.28</v>
      </c>
      <c r="G7">
        <v>16.100000000000001</v>
      </c>
    </row>
    <row r="8" spans="1:7">
      <c r="A8" s="196" t="s">
        <v>286</v>
      </c>
      <c r="B8">
        <v>30</v>
      </c>
      <c r="C8">
        <v>4.47</v>
      </c>
      <c r="D8">
        <v>2.89</v>
      </c>
      <c r="E8">
        <v>30</v>
      </c>
      <c r="F8">
        <v>6.08</v>
      </c>
      <c r="G8">
        <v>2.82</v>
      </c>
    </row>
    <row r="9" spans="1:7">
      <c r="A9" s="196" t="s">
        <v>41</v>
      </c>
      <c r="B9">
        <v>102</v>
      </c>
      <c r="C9">
        <v>8.39</v>
      </c>
      <c r="D9">
        <v>2.2200000000000002</v>
      </c>
      <c r="E9">
        <v>102</v>
      </c>
      <c r="F9">
        <v>8.9</v>
      </c>
      <c r="G9">
        <v>2.4500000000000002</v>
      </c>
    </row>
    <row r="10" spans="1:7">
      <c r="A10" s="196" t="s">
        <v>95</v>
      </c>
      <c r="B10">
        <v>95</v>
      </c>
      <c r="C10">
        <v>24.05</v>
      </c>
      <c r="D10">
        <v>6.3</v>
      </c>
      <c r="E10">
        <v>95</v>
      </c>
      <c r="F10">
        <v>25.77</v>
      </c>
      <c r="G10">
        <v>23.49</v>
      </c>
    </row>
    <row r="11" spans="1:7">
      <c r="A11" s="196" t="s">
        <v>248</v>
      </c>
      <c r="B11">
        <v>50</v>
      </c>
      <c r="C11">
        <v>27.22</v>
      </c>
      <c r="D11">
        <v>31.55</v>
      </c>
      <c r="E11">
        <v>50</v>
      </c>
      <c r="F11">
        <v>43.95</v>
      </c>
      <c r="G11">
        <v>47.74</v>
      </c>
    </row>
  </sheetData>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97461-5FB2-804B-B061-3F49484803C3}">
  <dimension ref="A1:G6"/>
  <sheetViews>
    <sheetView zoomScale="140" zoomScaleNormal="140" workbookViewId="0"/>
  </sheetViews>
  <sheetFormatPr baseColWidth="10" defaultRowHeight="16"/>
  <cols>
    <col min="1" max="1" width="19.6640625" customWidth="1"/>
    <col min="2" max="2" width="7.5" customWidth="1"/>
    <col min="5" max="5" width="7" customWidth="1"/>
  </cols>
  <sheetData>
    <row r="1" spans="1:7">
      <c r="A1" s="27" t="s">
        <v>1696</v>
      </c>
      <c r="B1" s="24" t="s">
        <v>222</v>
      </c>
      <c r="C1" s="24" t="s">
        <v>223</v>
      </c>
      <c r="D1" s="24" t="s">
        <v>224</v>
      </c>
      <c r="E1" s="24" t="s">
        <v>225</v>
      </c>
      <c r="F1" s="24" t="s">
        <v>226</v>
      </c>
      <c r="G1" s="24" t="s">
        <v>227</v>
      </c>
    </row>
    <row r="2" spans="1:7">
      <c r="A2" s="196" t="s">
        <v>957</v>
      </c>
      <c r="B2">
        <v>54</v>
      </c>
      <c r="C2">
        <v>0.67</v>
      </c>
      <c r="D2">
        <v>0.41</v>
      </c>
      <c r="E2">
        <v>54</v>
      </c>
      <c r="F2">
        <v>0.66</v>
      </c>
      <c r="G2">
        <v>0.4</v>
      </c>
    </row>
    <row r="3" spans="1:7">
      <c r="A3" s="196" t="s">
        <v>116</v>
      </c>
      <c r="B3">
        <v>59</v>
      </c>
      <c r="C3">
        <v>3.73</v>
      </c>
      <c r="D3">
        <v>0.12</v>
      </c>
      <c r="E3">
        <v>59</v>
      </c>
      <c r="F3">
        <v>2</v>
      </c>
      <c r="G3">
        <v>0.1</v>
      </c>
    </row>
    <row r="4" spans="1:7">
      <c r="A4" s="196" t="s">
        <v>286</v>
      </c>
      <c r="B4">
        <v>30</v>
      </c>
      <c r="C4">
        <v>6.37</v>
      </c>
      <c r="D4">
        <v>3.68</v>
      </c>
      <c r="E4">
        <v>30</v>
      </c>
      <c r="F4">
        <v>8.4</v>
      </c>
      <c r="G4">
        <v>3.86</v>
      </c>
    </row>
    <row r="5" spans="1:7">
      <c r="A5" s="196" t="s">
        <v>41</v>
      </c>
      <c r="B5">
        <v>102</v>
      </c>
      <c r="C5">
        <v>55.05</v>
      </c>
      <c r="D5">
        <v>13.12</v>
      </c>
      <c r="E5">
        <v>102</v>
      </c>
      <c r="F5">
        <v>63.57</v>
      </c>
      <c r="G5">
        <v>18.32</v>
      </c>
    </row>
    <row r="6" spans="1:7">
      <c r="A6" s="196" t="s">
        <v>248</v>
      </c>
      <c r="B6">
        <v>50</v>
      </c>
      <c r="C6">
        <v>8.16</v>
      </c>
      <c r="D6">
        <v>9.16</v>
      </c>
      <c r="E6">
        <v>50</v>
      </c>
      <c r="F6">
        <v>8.6199999999999992</v>
      </c>
      <c r="G6">
        <v>9.32</v>
      </c>
    </row>
  </sheetData>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84C21-3B54-0D4F-9434-9C39BE5EB632}">
  <dimension ref="A1:G15"/>
  <sheetViews>
    <sheetView zoomScale="130" zoomScaleNormal="130" workbookViewId="0"/>
  </sheetViews>
  <sheetFormatPr baseColWidth="10" defaultRowHeight="16"/>
  <cols>
    <col min="1" max="1" width="19.6640625" customWidth="1"/>
    <col min="2" max="2" width="7.5" customWidth="1"/>
    <col min="5" max="5" width="7" customWidth="1"/>
  </cols>
  <sheetData>
    <row r="1" spans="1:7">
      <c r="A1" s="27" t="s">
        <v>1696</v>
      </c>
      <c r="B1" s="10" t="s">
        <v>222</v>
      </c>
      <c r="C1" s="10" t="s">
        <v>223</v>
      </c>
      <c r="D1" s="10" t="s">
        <v>224</v>
      </c>
      <c r="E1" s="10" t="s">
        <v>225</v>
      </c>
      <c r="F1" s="10" t="s">
        <v>226</v>
      </c>
      <c r="G1" s="10" t="s">
        <v>227</v>
      </c>
    </row>
    <row r="2" spans="1:7">
      <c r="A2" s="196" t="s">
        <v>360</v>
      </c>
      <c r="B2">
        <v>32</v>
      </c>
      <c r="C2">
        <v>408.31</v>
      </c>
      <c r="D2">
        <v>136.26</v>
      </c>
      <c r="E2">
        <v>32</v>
      </c>
      <c r="F2">
        <v>442.9</v>
      </c>
      <c r="G2">
        <v>124.71</v>
      </c>
    </row>
    <row r="3" spans="1:7">
      <c r="A3" s="196" t="s">
        <v>262</v>
      </c>
      <c r="B3">
        <v>28</v>
      </c>
      <c r="C3">
        <v>6.1</v>
      </c>
      <c r="D3">
        <v>8.3000000000000007</v>
      </c>
      <c r="E3">
        <v>28</v>
      </c>
      <c r="F3">
        <v>16.8</v>
      </c>
      <c r="G3">
        <v>38.9</v>
      </c>
    </row>
    <row r="4" spans="1:7">
      <c r="A4" s="196" t="s">
        <v>987</v>
      </c>
      <c r="B4">
        <v>17</v>
      </c>
      <c r="C4">
        <v>1.31</v>
      </c>
      <c r="D4">
        <v>0.98</v>
      </c>
      <c r="E4">
        <v>17</v>
      </c>
      <c r="F4">
        <v>0.96</v>
      </c>
      <c r="G4">
        <v>0.84</v>
      </c>
    </row>
    <row r="5" spans="1:7">
      <c r="A5" s="196" t="s">
        <v>116</v>
      </c>
      <c r="B5">
        <v>59</v>
      </c>
      <c r="C5">
        <v>7.54</v>
      </c>
      <c r="D5">
        <v>1.27</v>
      </c>
      <c r="E5">
        <v>59</v>
      </c>
      <c r="F5">
        <v>11.42</v>
      </c>
      <c r="G5">
        <v>2.2599999999999998</v>
      </c>
    </row>
    <row r="6" spans="1:7">
      <c r="A6" s="196" t="s">
        <v>995</v>
      </c>
      <c r="B6">
        <v>50</v>
      </c>
      <c r="C6">
        <v>31.24</v>
      </c>
      <c r="D6">
        <v>8</v>
      </c>
      <c r="E6">
        <v>50</v>
      </c>
      <c r="F6">
        <v>35.130000000000003</v>
      </c>
      <c r="G6">
        <v>8.52</v>
      </c>
    </row>
    <row r="7" spans="1:7">
      <c r="A7" s="196" t="s">
        <v>1307</v>
      </c>
      <c r="B7">
        <v>15</v>
      </c>
      <c r="C7">
        <v>176</v>
      </c>
      <c r="D7">
        <v>69</v>
      </c>
      <c r="E7">
        <v>24</v>
      </c>
      <c r="F7">
        <v>119.4</v>
      </c>
      <c r="G7">
        <v>61.9</v>
      </c>
    </row>
    <row r="8" spans="1:7">
      <c r="A8" s="196" t="s">
        <v>1082</v>
      </c>
      <c r="B8">
        <v>14</v>
      </c>
      <c r="C8">
        <v>1.83</v>
      </c>
      <c r="D8">
        <v>1.51</v>
      </c>
      <c r="E8">
        <v>14</v>
      </c>
      <c r="F8">
        <v>2.12</v>
      </c>
      <c r="G8">
        <v>2.34</v>
      </c>
    </row>
    <row r="9" spans="1:7">
      <c r="A9" s="196" t="s">
        <v>1228</v>
      </c>
      <c r="B9">
        <v>16</v>
      </c>
      <c r="C9">
        <v>19.73</v>
      </c>
      <c r="D9">
        <v>18.940000000000001</v>
      </c>
      <c r="E9">
        <v>16</v>
      </c>
      <c r="F9">
        <v>12.38</v>
      </c>
      <c r="G9">
        <v>19.8</v>
      </c>
    </row>
    <row r="10" spans="1:7">
      <c r="A10" s="196" t="s">
        <v>41</v>
      </c>
      <c r="B10">
        <v>102</v>
      </c>
      <c r="C10">
        <v>16.399999999999999</v>
      </c>
      <c r="D10">
        <v>6.12</v>
      </c>
      <c r="E10">
        <v>102</v>
      </c>
      <c r="F10">
        <v>17.16</v>
      </c>
      <c r="G10">
        <v>8.91</v>
      </c>
    </row>
    <row r="11" spans="1:7">
      <c r="A11" s="196" t="s">
        <v>95</v>
      </c>
      <c r="B11">
        <v>95</v>
      </c>
      <c r="C11">
        <v>62.92</v>
      </c>
      <c r="D11">
        <v>16.77</v>
      </c>
      <c r="E11">
        <v>95</v>
      </c>
      <c r="F11">
        <v>54.86</v>
      </c>
      <c r="G11">
        <v>109.72</v>
      </c>
    </row>
    <row r="12" spans="1:7">
      <c r="A12" s="196" t="s">
        <v>333</v>
      </c>
      <c r="B12">
        <v>38</v>
      </c>
      <c r="C12">
        <v>8.11</v>
      </c>
      <c r="D12">
        <v>1.4</v>
      </c>
      <c r="E12">
        <v>38</v>
      </c>
      <c r="F12">
        <v>16.23</v>
      </c>
      <c r="G12">
        <v>2.79</v>
      </c>
    </row>
    <row r="13" spans="1:7">
      <c r="A13" s="196" t="s">
        <v>248</v>
      </c>
      <c r="B13">
        <v>50</v>
      </c>
      <c r="C13">
        <v>10.24</v>
      </c>
      <c r="D13">
        <v>8.9</v>
      </c>
      <c r="E13">
        <v>50</v>
      </c>
      <c r="F13">
        <v>7.15</v>
      </c>
      <c r="G13">
        <v>7.49</v>
      </c>
    </row>
    <row r="14" spans="1:7">
      <c r="A14" s="196" t="s">
        <v>957</v>
      </c>
      <c r="B14">
        <v>54</v>
      </c>
      <c r="C14">
        <v>0.16</v>
      </c>
      <c r="D14">
        <v>0.69</v>
      </c>
      <c r="E14">
        <v>54</v>
      </c>
      <c r="F14">
        <v>0.28000000000000003</v>
      </c>
      <c r="G14">
        <v>0.54</v>
      </c>
    </row>
    <row r="15" spans="1:7">
      <c r="A15" s="196" t="s">
        <v>940</v>
      </c>
      <c r="B15">
        <v>23</v>
      </c>
      <c r="C15">
        <v>7.77</v>
      </c>
      <c r="D15">
        <v>9.2200000000000006</v>
      </c>
      <c r="E15">
        <v>23</v>
      </c>
      <c r="F15">
        <v>12.13</v>
      </c>
      <c r="G15">
        <v>16.579999999999998</v>
      </c>
    </row>
  </sheetData>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3B3E5-9170-5448-B471-86A339D0B656}">
  <dimension ref="A1:G10"/>
  <sheetViews>
    <sheetView zoomScale="130" zoomScaleNormal="130" workbookViewId="0"/>
  </sheetViews>
  <sheetFormatPr baseColWidth="10" defaultRowHeight="16"/>
  <cols>
    <col min="1" max="1" width="19.6640625" customWidth="1"/>
    <col min="2" max="2" width="7.5" customWidth="1"/>
    <col min="5" max="5" width="7" customWidth="1"/>
  </cols>
  <sheetData>
    <row r="1" spans="1:7">
      <c r="A1" s="27" t="s">
        <v>1696</v>
      </c>
      <c r="B1" s="24" t="s">
        <v>222</v>
      </c>
      <c r="C1" s="24" t="s">
        <v>223</v>
      </c>
      <c r="D1" s="24" t="s">
        <v>224</v>
      </c>
      <c r="E1" s="24" t="s">
        <v>225</v>
      </c>
      <c r="F1" s="24" t="s">
        <v>226</v>
      </c>
      <c r="G1" s="24" t="s">
        <v>227</v>
      </c>
    </row>
    <row r="2" spans="1:7">
      <c r="A2" s="196" t="s">
        <v>957</v>
      </c>
      <c r="B2">
        <v>54</v>
      </c>
      <c r="C2">
        <v>0.39</v>
      </c>
      <c r="D2">
        <v>0.4</v>
      </c>
      <c r="E2">
        <v>54</v>
      </c>
      <c r="F2">
        <v>0.51</v>
      </c>
      <c r="G2">
        <v>0.39</v>
      </c>
    </row>
    <row r="3" spans="1:7">
      <c r="A3" s="196" t="s">
        <v>262</v>
      </c>
      <c r="B3">
        <v>28</v>
      </c>
      <c r="C3">
        <v>76</v>
      </c>
      <c r="D3">
        <v>100</v>
      </c>
      <c r="E3">
        <v>28</v>
      </c>
      <c r="F3">
        <v>113</v>
      </c>
      <c r="G3">
        <v>188</v>
      </c>
    </row>
    <row r="4" spans="1:7">
      <c r="A4" s="196" t="s">
        <v>270</v>
      </c>
      <c r="B4">
        <v>66</v>
      </c>
      <c r="C4">
        <v>11.15</v>
      </c>
      <c r="D4">
        <v>7.28</v>
      </c>
      <c r="E4">
        <v>66</v>
      </c>
      <c r="F4">
        <v>11.3</v>
      </c>
      <c r="G4">
        <v>7.9</v>
      </c>
    </row>
    <row r="5" spans="1:7">
      <c r="A5" s="196" t="s">
        <v>116</v>
      </c>
      <c r="B5">
        <v>59</v>
      </c>
      <c r="C5">
        <v>375.28</v>
      </c>
      <c r="D5">
        <v>80.91</v>
      </c>
      <c r="E5">
        <v>59</v>
      </c>
      <c r="F5">
        <v>569.48</v>
      </c>
      <c r="G5">
        <v>91.57</v>
      </c>
    </row>
    <row r="6" spans="1:7">
      <c r="A6" s="196" t="s">
        <v>1257</v>
      </c>
      <c r="B6">
        <v>28</v>
      </c>
      <c r="C6">
        <v>6.93</v>
      </c>
      <c r="D6">
        <v>2.3199999999999998</v>
      </c>
      <c r="E6">
        <v>28</v>
      </c>
      <c r="F6">
        <v>6.31</v>
      </c>
      <c r="G6">
        <v>1.95</v>
      </c>
    </row>
    <row r="7" spans="1:7">
      <c r="A7" s="196" t="s">
        <v>1242</v>
      </c>
      <c r="B7">
        <v>28</v>
      </c>
      <c r="C7">
        <v>6.94</v>
      </c>
      <c r="D7">
        <v>2.34</v>
      </c>
      <c r="E7">
        <v>28</v>
      </c>
      <c r="F7">
        <v>6.54</v>
      </c>
      <c r="G7">
        <v>2.13</v>
      </c>
    </row>
    <row r="8" spans="1:7">
      <c r="A8" s="196" t="s">
        <v>41</v>
      </c>
      <c r="B8">
        <v>102</v>
      </c>
      <c r="C8">
        <v>37.44</v>
      </c>
      <c r="D8">
        <v>45.96</v>
      </c>
      <c r="E8">
        <v>102</v>
      </c>
      <c r="F8">
        <v>47.08</v>
      </c>
      <c r="G8">
        <v>90.21</v>
      </c>
    </row>
    <row r="9" spans="1:7">
      <c r="A9" s="196" t="s">
        <v>95</v>
      </c>
      <c r="B9">
        <v>95</v>
      </c>
      <c r="C9">
        <v>110.74</v>
      </c>
      <c r="D9">
        <v>304.88</v>
      </c>
      <c r="E9">
        <v>95</v>
      </c>
      <c r="F9">
        <v>79.62</v>
      </c>
      <c r="G9">
        <v>98.85</v>
      </c>
    </row>
    <row r="10" spans="1:7">
      <c r="A10" s="196" t="s">
        <v>248</v>
      </c>
      <c r="B10">
        <v>50</v>
      </c>
      <c r="C10">
        <v>13.45</v>
      </c>
      <c r="D10">
        <v>13.77</v>
      </c>
      <c r="E10">
        <v>50</v>
      </c>
      <c r="F10">
        <v>14.53</v>
      </c>
      <c r="G10">
        <v>18.93</v>
      </c>
    </row>
  </sheetData>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73E8-1BC7-064D-B86E-259A5D99EC35}">
  <dimension ref="A1:G12"/>
  <sheetViews>
    <sheetView zoomScale="120" zoomScaleNormal="120" workbookViewId="0"/>
  </sheetViews>
  <sheetFormatPr baseColWidth="10" defaultRowHeight="16"/>
  <cols>
    <col min="1" max="1" width="19.6640625" customWidth="1"/>
    <col min="2" max="2" width="7.5" customWidth="1"/>
    <col min="5" max="5" width="7" customWidth="1"/>
  </cols>
  <sheetData>
    <row r="1" spans="1:7">
      <c r="A1" s="27" t="s">
        <v>1696</v>
      </c>
      <c r="B1" s="27" t="s">
        <v>222</v>
      </c>
      <c r="C1" s="27" t="s">
        <v>223</v>
      </c>
      <c r="D1" s="27" t="s">
        <v>224</v>
      </c>
      <c r="E1" s="27" t="s">
        <v>225</v>
      </c>
      <c r="F1" s="27" t="s">
        <v>226</v>
      </c>
      <c r="G1" s="27" t="s">
        <v>227</v>
      </c>
    </row>
    <row r="2" spans="1:7">
      <c r="A2" s="196" t="s">
        <v>299</v>
      </c>
      <c r="B2">
        <v>30</v>
      </c>
      <c r="C2">
        <v>8.1999999999999993</v>
      </c>
      <c r="D2">
        <v>3.89</v>
      </c>
      <c r="E2">
        <v>30</v>
      </c>
      <c r="F2">
        <v>9.1199999999999992</v>
      </c>
      <c r="G2">
        <v>4.28</v>
      </c>
    </row>
    <row r="3" spans="1:7">
      <c r="A3" s="196" t="s">
        <v>957</v>
      </c>
      <c r="B3">
        <v>54</v>
      </c>
      <c r="C3">
        <v>1.1399999999999999</v>
      </c>
      <c r="D3">
        <v>0.4</v>
      </c>
      <c r="E3">
        <v>54</v>
      </c>
      <c r="F3">
        <v>1.0900000000000001</v>
      </c>
      <c r="G3">
        <v>0.44</v>
      </c>
    </row>
    <row r="4" spans="1:7">
      <c r="A4" s="196" t="s">
        <v>987</v>
      </c>
      <c r="B4">
        <v>17</v>
      </c>
      <c r="C4">
        <v>0.37</v>
      </c>
      <c r="D4">
        <v>0.62</v>
      </c>
      <c r="E4">
        <v>17</v>
      </c>
      <c r="F4">
        <v>0.27</v>
      </c>
      <c r="G4">
        <v>0.35</v>
      </c>
    </row>
    <row r="5" spans="1:7">
      <c r="A5" s="196" t="s">
        <v>116</v>
      </c>
      <c r="B5">
        <v>59</v>
      </c>
      <c r="C5">
        <v>3.75</v>
      </c>
      <c r="D5">
        <v>0.78</v>
      </c>
      <c r="E5">
        <v>59</v>
      </c>
      <c r="F5">
        <v>3.16</v>
      </c>
      <c r="G5">
        <v>0.41</v>
      </c>
    </row>
    <row r="6" spans="1:7">
      <c r="A6" s="196" t="s">
        <v>995</v>
      </c>
      <c r="B6">
        <v>50</v>
      </c>
      <c r="C6">
        <v>405.34</v>
      </c>
      <c r="D6">
        <v>100.66</v>
      </c>
      <c r="E6">
        <v>50</v>
      </c>
      <c r="F6">
        <v>468.37</v>
      </c>
      <c r="G6">
        <v>104.42</v>
      </c>
    </row>
    <row r="7" spans="1:7">
      <c r="A7" s="196" t="s">
        <v>1306</v>
      </c>
      <c r="B7">
        <v>31</v>
      </c>
      <c r="C7">
        <v>628.79</v>
      </c>
      <c r="D7">
        <v>171.3</v>
      </c>
      <c r="E7">
        <v>31</v>
      </c>
      <c r="F7">
        <v>777.23</v>
      </c>
      <c r="G7">
        <v>90.64</v>
      </c>
    </row>
    <row r="8" spans="1:7">
      <c r="A8" s="196" t="s">
        <v>286</v>
      </c>
      <c r="B8">
        <v>30</v>
      </c>
      <c r="C8">
        <v>4.92</v>
      </c>
      <c r="D8">
        <v>3.45</v>
      </c>
      <c r="E8">
        <v>30</v>
      </c>
      <c r="F8">
        <v>6.82</v>
      </c>
      <c r="G8">
        <v>3.5</v>
      </c>
    </row>
    <row r="9" spans="1:7">
      <c r="A9" s="196" t="s">
        <v>41</v>
      </c>
      <c r="B9">
        <v>102</v>
      </c>
      <c r="C9">
        <v>580.62</v>
      </c>
      <c r="D9">
        <v>658.12</v>
      </c>
      <c r="E9">
        <v>102</v>
      </c>
      <c r="F9">
        <v>486.53</v>
      </c>
      <c r="G9">
        <v>289.3</v>
      </c>
    </row>
    <row r="10" spans="1:7">
      <c r="A10" s="196" t="s">
        <v>95</v>
      </c>
      <c r="B10">
        <v>95</v>
      </c>
      <c r="C10">
        <v>113.39</v>
      </c>
      <c r="D10">
        <v>248.35</v>
      </c>
      <c r="E10">
        <v>95</v>
      </c>
      <c r="F10">
        <v>100.57</v>
      </c>
      <c r="G10">
        <v>175.4</v>
      </c>
    </row>
    <row r="11" spans="1:7">
      <c r="A11" s="196" t="s">
        <v>333</v>
      </c>
      <c r="B11">
        <v>38</v>
      </c>
      <c r="C11">
        <v>5.01</v>
      </c>
      <c r="D11">
        <v>0.93</v>
      </c>
      <c r="E11">
        <v>38</v>
      </c>
      <c r="F11">
        <v>8.82</v>
      </c>
      <c r="G11">
        <v>1.1599999999999999</v>
      </c>
    </row>
    <row r="12" spans="1:7">
      <c r="A12" s="196" t="s">
        <v>248</v>
      </c>
      <c r="B12">
        <v>50</v>
      </c>
      <c r="C12">
        <v>7.61</v>
      </c>
      <c r="D12">
        <v>8.6300000000000008</v>
      </c>
      <c r="E12">
        <v>50</v>
      </c>
      <c r="F12">
        <v>9.06</v>
      </c>
      <c r="G12">
        <v>9.0500000000000007</v>
      </c>
    </row>
  </sheetData>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B0259-7081-DF4F-AA9C-253FFDA70DAB}">
  <dimension ref="A1:G6"/>
  <sheetViews>
    <sheetView zoomScale="120" zoomScaleNormal="120" workbookViewId="0"/>
  </sheetViews>
  <sheetFormatPr baseColWidth="10" defaultRowHeight="16"/>
  <cols>
    <col min="1" max="1" width="19.6640625" customWidth="1"/>
    <col min="2" max="2" width="7.5" customWidth="1"/>
    <col min="5" max="5" width="7" customWidth="1"/>
  </cols>
  <sheetData>
    <row r="1" spans="1:7">
      <c r="A1" s="27" t="s">
        <v>1696</v>
      </c>
      <c r="B1" s="24" t="s">
        <v>222</v>
      </c>
      <c r="C1" s="24" t="s">
        <v>223</v>
      </c>
      <c r="D1" s="24" t="s">
        <v>224</v>
      </c>
      <c r="E1" s="24" t="s">
        <v>225</v>
      </c>
      <c r="F1" s="24" t="s">
        <v>226</v>
      </c>
      <c r="G1" s="24" t="s">
        <v>227</v>
      </c>
    </row>
    <row r="2" spans="1:7">
      <c r="A2" s="196" t="s">
        <v>957</v>
      </c>
      <c r="B2">
        <v>54</v>
      </c>
      <c r="C2">
        <v>0.47</v>
      </c>
      <c r="D2">
        <v>0.51</v>
      </c>
      <c r="E2">
        <v>54</v>
      </c>
      <c r="F2">
        <v>0.4</v>
      </c>
      <c r="G2">
        <v>0.45</v>
      </c>
    </row>
    <row r="3" spans="1:7">
      <c r="A3" s="196" t="s">
        <v>116</v>
      </c>
      <c r="B3">
        <v>59</v>
      </c>
      <c r="C3">
        <v>255.59</v>
      </c>
      <c r="D3">
        <v>8.07</v>
      </c>
      <c r="E3">
        <v>59</v>
      </c>
      <c r="F3">
        <v>241.83</v>
      </c>
      <c r="G3">
        <v>6.23</v>
      </c>
    </row>
    <row r="4" spans="1:7">
      <c r="A4" s="196" t="s">
        <v>1306</v>
      </c>
      <c r="B4">
        <v>31</v>
      </c>
      <c r="C4">
        <v>3643.37</v>
      </c>
      <c r="D4">
        <v>265.52</v>
      </c>
      <c r="E4">
        <v>31</v>
      </c>
      <c r="F4">
        <v>3658.59</v>
      </c>
      <c r="G4">
        <v>684.75</v>
      </c>
    </row>
    <row r="5" spans="1:7">
      <c r="A5" s="196" t="s">
        <v>286</v>
      </c>
      <c r="B5">
        <v>30</v>
      </c>
      <c r="C5">
        <v>9.1999999999999993</v>
      </c>
      <c r="D5">
        <v>5.44</v>
      </c>
      <c r="E5">
        <v>30</v>
      </c>
      <c r="F5">
        <v>11.37</v>
      </c>
      <c r="G5">
        <v>4.5999999999999996</v>
      </c>
    </row>
    <row r="6" spans="1:7">
      <c r="A6" s="196" t="s">
        <v>41</v>
      </c>
      <c r="B6">
        <v>102</v>
      </c>
      <c r="C6">
        <v>15.89</v>
      </c>
      <c r="D6">
        <v>18.09</v>
      </c>
      <c r="E6">
        <v>102</v>
      </c>
      <c r="F6">
        <v>19.95</v>
      </c>
      <c r="G6">
        <v>19.190000000000001</v>
      </c>
    </row>
  </sheetData>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92DA-2F5F-1E48-BAB1-FEA529C092C4}">
  <dimension ref="A1:G6"/>
  <sheetViews>
    <sheetView workbookViewId="0">
      <selection activeCell="F9" sqref="F9"/>
    </sheetView>
  </sheetViews>
  <sheetFormatPr baseColWidth="10" defaultRowHeight="16"/>
  <cols>
    <col min="1" max="1" width="19.6640625" customWidth="1"/>
    <col min="2" max="2" width="7.5" customWidth="1"/>
    <col min="5" max="5" width="7" customWidth="1"/>
  </cols>
  <sheetData>
    <row r="1" spans="1:7">
      <c r="A1" s="24" t="s">
        <v>215</v>
      </c>
      <c r="B1" s="24" t="s">
        <v>222</v>
      </c>
      <c r="C1" s="24" t="s">
        <v>223</v>
      </c>
      <c r="D1" s="24" t="s">
        <v>224</v>
      </c>
      <c r="E1" s="24" t="s">
        <v>225</v>
      </c>
      <c r="F1" s="24" t="s">
        <v>226</v>
      </c>
      <c r="G1" s="24" t="s">
        <v>227</v>
      </c>
    </row>
    <row r="2" spans="1:7">
      <c r="A2" s="2" t="s">
        <v>319</v>
      </c>
      <c r="B2" s="2">
        <v>30</v>
      </c>
      <c r="C2" s="2" t="s">
        <v>617</v>
      </c>
      <c r="D2" s="2" t="s">
        <v>618</v>
      </c>
      <c r="E2" s="2">
        <v>30</v>
      </c>
      <c r="F2" s="2" t="s">
        <v>615</v>
      </c>
      <c r="G2" s="2" t="s">
        <v>616</v>
      </c>
    </row>
    <row r="3" spans="1:7">
      <c r="A3" s="2" t="s">
        <v>313</v>
      </c>
      <c r="B3" s="2">
        <v>22</v>
      </c>
      <c r="C3" s="2">
        <v>205</v>
      </c>
      <c r="D3" s="2">
        <v>19</v>
      </c>
      <c r="E3" s="2">
        <v>14</v>
      </c>
      <c r="F3" s="2">
        <v>199</v>
      </c>
      <c r="G3" s="2">
        <v>24</v>
      </c>
    </row>
    <row r="4" spans="1:7">
      <c r="A4" s="2" t="s">
        <v>270</v>
      </c>
      <c r="B4" s="2">
        <v>66</v>
      </c>
      <c r="C4" s="2">
        <v>375</v>
      </c>
      <c r="D4" s="2">
        <v>286</v>
      </c>
      <c r="E4" s="2">
        <v>66</v>
      </c>
      <c r="F4" s="2">
        <v>368</v>
      </c>
      <c r="G4" s="2" t="s">
        <v>619</v>
      </c>
    </row>
    <row r="5" spans="1:7">
      <c r="A5" s="2" t="s">
        <v>41</v>
      </c>
      <c r="B5" s="2">
        <v>102</v>
      </c>
      <c r="C5" s="2" t="s">
        <v>622</v>
      </c>
      <c r="D5" s="2" t="s">
        <v>623</v>
      </c>
      <c r="E5" s="2">
        <v>102</v>
      </c>
      <c r="F5" s="2" t="s">
        <v>620</v>
      </c>
      <c r="G5" s="2" t="s">
        <v>621</v>
      </c>
    </row>
    <row r="6" spans="1:7">
      <c r="A6" s="2" t="s">
        <v>116</v>
      </c>
      <c r="B6" s="2">
        <v>59</v>
      </c>
      <c r="C6" s="2" t="s">
        <v>626</v>
      </c>
      <c r="D6" s="2" t="s">
        <v>625</v>
      </c>
      <c r="E6" s="2">
        <v>59</v>
      </c>
      <c r="F6" s="2" t="s">
        <v>624</v>
      </c>
      <c r="G6" s="2" t="s">
        <v>625</v>
      </c>
    </row>
  </sheetData>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4BBF4-A036-5843-AD94-9116216483FB}">
  <dimension ref="A1:G5"/>
  <sheetViews>
    <sheetView workbookViewId="0">
      <selection activeCell="D11" sqref="D11"/>
    </sheetView>
  </sheetViews>
  <sheetFormatPr baseColWidth="10" defaultRowHeight="16"/>
  <cols>
    <col min="1" max="1" width="19.6640625" customWidth="1"/>
    <col min="2" max="2" width="7.5" customWidth="1"/>
    <col min="5" max="5" width="7" customWidth="1"/>
  </cols>
  <sheetData>
    <row r="1" spans="1:7">
      <c r="A1" s="24" t="s">
        <v>215</v>
      </c>
      <c r="B1" s="24" t="s">
        <v>222</v>
      </c>
      <c r="C1" s="24" t="s">
        <v>223</v>
      </c>
      <c r="D1" s="24" t="s">
        <v>224</v>
      </c>
      <c r="E1" s="24" t="s">
        <v>225</v>
      </c>
      <c r="F1" s="24" t="s">
        <v>226</v>
      </c>
      <c r="G1" s="24" t="s">
        <v>227</v>
      </c>
    </row>
    <row r="2" spans="1:7">
      <c r="A2" t="s">
        <v>286</v>
      </c>
      <c r="B2">
        <v>30</v>
      </c>
      <c r="C2" t="s">
        <v>601</v>
      </c>
      <c r="D2" t="s">
        <v>602</v>
      </c>
      <c r="E2">
        <v>30</v>
      </c>
      <c r="F2" t="s">
        <v>599</v>
      </c>
      <c r="G2" t="s">
        <v>600</v>
      </c>
    </row>
    <row r="3" spans="1:7">
      <c r="A3" t="s">
        <v>41</v>
      </c>
      <c r="B3">
        <v>102</v>
      </c>
      <c r="C3" t="s">
        <v>605</v>
      </c>
      <c r="D3" t="s">
        <v>606</v>
      </c>
      <c r="E3">
        <v>102</v>
      </c>
      <c r="F3" t="s">
        <v>603</v>
      </c>
      <c r="G3" t="s">
        <v>604</v>
      </c>
    </row>
    <row r="4" spans="1:7">
      <c r="A4" t="s">
        <v>95</v>
      </c>
      <c r="B4">
        <v>95</v>
      </c>
      <c r="C4" t="s">
        <v>609</v>
      </c>
      <c r="D4" t="s">
        <v>610</v>
      </c>
      <c r="E4">
        <v>95</v>
      </c>
      <c r="F4" t="s">
        <v>607</v>
      </c>
      <c r="G4" t="s">
        <v>607</v>
      </c>
    </row>
    <row r="5" spans="1:7">
      <c r="A5" t="s">
        <v>248</v>
      </c>
      <c r="B5">
        <v>50</v>
      </c>
      <c r="C5" t="s">
        <v>613</v>
      </c>
      <c r="D5" t="s">
        <v>614</v>
      </c>
      <c r="E5">
        <v>50</v>
      </c>
      <c r="F5" t="s">
        <v>611</v>
      </c>
      <c r="G5" t="s">
        <v>612</v>
      </c>
    </row>
  </sheetData>
  <pageMargins left="0.511811024" right="0.511811024" top="0.78740157499999996" bottom="0.78740157499999996" header="0.31496062000000002" footer="0.3149606200000000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1DB43-3484-FA4E-9B97-BDE9343FFF74}">
  <dimension ref="A1:G4"/>
  <sheetViews>
    <sheetView workbookViewId="0">
      <selection activeCell="A2" sqref="A2:A5"/>
    </sheetView>
  </sheetViews>
  <sheetFormatPr baseColWidth="10" defaultRowHeight="16"/>
  <cols>
    <col min="1" max="1" width="19.6640625" customWidth="1"/>
    <col min="2" max="2" width="7.5" customWidth="1"/>
    <col min="5" max="5" width="7" customWidth="1"/>
  </cols>
  <sheetData>
    <row r="1" spans="1:7">
      <c r="A1" s="27" t="s">
        <v>215</v>
      </c>
      <c r="B1" s="27" t="s">
        <v>222</v>
      </c>
      <c r="C1" s="27" t="s">
        <v>223</v>
      </c>
      <c r="D1" s="27" t="s">
        <v>224</v>
      </c>
      <c r="E1" s="27" t="s">
        <v>225</v>
      </c>
      <c r="F1" s="27" t="s">
        <v>226</v>
      </c>
      <c r="G1" s="27" t="s">
        <v>227</v>
      </c>
    </row>
    <row r="2" spans="1:7">
      <c r="A2" s="2" t="s">
        <v>270</v>
      </c>
      <c r="B2" s="2">
        <v>66</v>
      </c>
      <c r="C2" s="2">
        <v>147</v>
      </c>
      <c r="D2" s="2">
        <v>106</v>
      </c>
      <c r="E2" s="2">
        <v>66</v>
      </c>
      <c r="F2" s="2">
        <v>135</v>
      </c>
      <c r="G2" s="2" t="s">
        <v>590</v>
      </c>
    </row>
    <row r="3" spans="1:7">
      <c r="A3" s="2" t="s">
        <v>41</v>
      </c>
      <c r="B3" s="2">
        <v>102</v>
      </c>
      <c r="C3" s="2" t="s">
        <v>593</v>
      </c>
      <c r="D3" s="2" t="s">
        <v>594</v>
      </c>
      <c r="E3" s="2">
        <v>102</v>
      </c>
      <c r="F3" s="2" t="s">
        <v>591</v>
      </c>
      <c r="G3" s="2" t="s">
        <v>592</v>
      </c>
    </row>
    <row r="4" spans="1:7">
      <c r="A4" s="2" t="s">
        <v>116</v>
      </c>
      <c r="B4" s="2">
        <v>59</v>
      </c>
      <c r="C4" s="2" t="s">
        <v>597</v>
      </c>
      <c r="D4" s="2" t="s">
        <v>598</v>
      </c>
      <c r="E4" s="2">
        <v>59</v>
      </c>
      <c r="F4" s="2" t="s">
        <v>595</v>
      </c>
      <c r="G4" s="2" t="s">
        <v>596</v>
      </c>
    </row>
  </sheetData>
  <pageMargins left="0.511811024" right="0.511811024" top="0.78740157499999996" bottom="0.78740157499999996" header="0.31496062000000002" footer="0.3149606200000000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A3000-2CFB-6245-AB0E-1401250B4A00}">
  <dimension ref="A1:G5"/>
  <sheetViews>
    <sheetView workbookViewId="0">
      <selection activeCell="A2" sqref="A2:A5"/>
    </sheetView>
  </sheetViews>
  <sheetFormatPr baseColWidth="10" defaultRowHeight="16"/>
  <cols>
    <col min="1" max="1" width="19.6640625" customWidth="1"/>
    <col min="2" max="2" width="7.5" customWidth="1"/>
    <col min="5" max="5" width="7" customWidth="1"/>
  </cols>
  <sheetData>
    <row r="1" spans="1:7">
      <c r="A1" s="24" t="s">
        <v>215</v>
      </c>
      <c r="B1" s="24" t="s">
        <v>222</v>
      </c>
      <c r="C1" s="24" t="s">
        <v>223</v>
      </c>
      <c r="D1" s="24" t="s">
        <v>224</v>
      </c>
      <c r="E1" s="24" t="s">
        <v>225</v>
      </c>
      <c r="F1" s="24" t="s">
        <v>226</v>
      </c>
      <c r="G1" s="24" t="s">
        <v>227</v>
      </c>
    </row>
    <row r="2" spans="1:7">
      <c r="A2" s="25" t="s">
        <v>313</v>
      </c>
      <c r="B2" s="25">
        <v>22</v>
      </c>
      <c r="C2" s="25" t="s">
        <v>565</v>
      </c>
      <c r="D2" s="25" t="s">
        <v>567</v>
      </c>
      <c r="E2" s="25">
        <v>14</v>
      </c>
      <c r="F2" s="25" t="s">
        <v>566</v>
      </c>
      <c r="G2" s="25" t="s">
        <v>266</v>
      </c>
    </row>
    <row r="3" spans="1:7">
      <c r="A3" s="25" t="s">
        <v>302</v>
      </c>
      <c r="B3" s="25">
        <v>24</v>
      </c>
      <c r="C3" s="25" t="s">
        <v>569</v>
      </c>
      <c r="D3" s="25" t="s">
        <v>570</v>
      </c>
      <c r="E3" s="25">
        <v>24</v>
      </c>
      <c r="F3" s="25" t="s">
        <v>568</v>
      </c>
      <c r="G3" s="25" t="s">
        <v>348</v>
      </c>
    </row>
    <row r="4" spans="1:7">
      <c r="A4" s="25" t="s">
        <v>286</v>
      </c>
      <c r="B4" s="25">
        <v>30</v>
      </c>
      <c r="C4" s="25" t="s">
        <v>573</v>
      </c>
      <c r="D4" s="25" t="s">
        <v>574</v>
      </c>
      <c r="E4" s="25">
        <v>30</v>
      </c>
      <c r="F4" s="25" t="s">
        <v>571</v>
      </c>
      <c r="G4" s="25" t="s">
        <v>572</v>
      </c>
    </row>
    <row r="5" spans="1:7">
      <c r="A5" s="25" t="s">
        <v>41</v>
      </c>
      <c r="B5" s="25">
        <v>102</v>
      </c>
      <c r="C5" s="25" t="s">
        <v>576</v>
      </c>
      <c r="D5" s="25" t="s">
        <v>577</v>
      </c>
      <c r="E5" s="25">
        <v>102</v>
      </c>
      <c r="F5" s="25" t="s">
        <v>575</v>
      </c>
      <c r="G5" s="25" t="s">
        <v>267</v>
      </c>
    </row>
  </sheetData>
  <pageMargins left="0.511811024" right="0.511811024" top="0.78740157499999996" bottom="0.78740157499999996" header="0.31496062000000002" footer="0.3149606200000000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A9B1-9915-E443-8A91-B3453CB66180}">
  <dimension ref="A1:G19"/>
  <sheetViews>
    <sheetView zoomScale="130" zoomScaleNormal="130" workbookViewId="0"/>
  </sheetViews>
  <sheetFormatPr baseColWidth="10" defaultRowHeight="16"/>
  <cols>
    <col min="1" max="1" width="19.6640625" customWidth="1"/>
    <col min="2" max="2" width="7.5" customWidth="1"/>
    <col min="5" max="5" width="7" customWidth="1"/>
  </cols>
  <sheetData>
    <row r="1" spans="1:7">
      <c r="A1" s="27" t="s">
        <v>1696</v>
      </c>
      <c r="B1" s="27" t="s">
        <v>222</v>
      </c>
      <c r="C1" s="27" t="s">
        <v>223</v>
      </c>
      <c r="D1" s="27" t="s">
        <v>224</v>
      </c>
      <c r="E1" s="27" t="s">
        <v>225</v>
      </c>
      <c r="F1" s="27" t="s">
        <v>226</v>
      </c>
      <c r="G1" s="27" t="s">
        <v>227</v>
      </c>
    </row>
    <row r="2" spans="1:7">
      <c r="A2" s="196" t="s">
        <v>299</v>
      </c>
      <c r="B2">
        <v>30</v>
      </c>
      <c r="C2">
        <v>168.22</v>
      </c>
      <c r="D2">
        <v>128.86000000000001</v>
      </c>
      <c r="E2">
        <v>30</v>
      </c>
      <c r="F2">
        <v>202.56</v>
      </c>
      <c r="G2">
        <v>86.13</v>
      </c>
    </row>
    <row r="3" spans="1:7">
      <c r="A3" s="196" t="s">
        <v>940</v>
      </c>
      <c r="B3">
        <v>23</v>
      </c>
      <c r="C3">
        <v>5.93</v>
      </c>
      <c r="D3">
        <v>3.58</v>
      </c>
      <c r="E3">
        <v>23</v>
      </c>
      <c r="F3">
        <v>5.33</v>
      </c>
      <c r="G3">
        <v>3.67</v>
      </c>
    </row>
    <row r="4" spans="1:7">
      <c r="A4" s="196" t="s">
        <v>360</v>
      </c>
      <c r="B4">
        <v>32</v>
      </c>
      <c r="C4">
        <v>731.31</v>
      </c>
      <c r="D4">
        <v>269.2</v>
      </c>
      <c r="E4">
        <v>32</v>
      </c>
      <c r="F4">
        <v>751.66</v>
      </c>
      <c r="G4">
        <v>312.31</v>
      </c>
    </row>
    <row r="5" spans="1:7">
      <c r="A5" s="196" t="s">
        <v>957</v>
      </c>
      <c r="B5">
        <v>54</v>
      </c>
      <c r="C5">
        <v>0.66</v>
      </c>
      <c r="D5">
        <v>0.25</v>
      </c>
      <c r="E5">
        <v>54</v>
      </c>
      <c r="F5">
        <v>0.73</v>
      </c>
      <c r="G5">
        <v>0.22</v>
      </c>
    </row>
    <row r="6" spans="1:7">
      <c r="A6" s="196" t="s">
        <v>262</v>
      </c>
      <c r="B6">
        <v>28</v>
      </c>
      <c r="C6">
        <v>25.6</v>
      </c>
      <c r="D6">
        <v>23</v>
      </c>
      <c r="E6">
        <v>28</v>
      </c>
      <c r="F6">
        <v>27</v>
      </c>
      <c r="G6">
        <v>18.5</v>
      </c>
    </row>
    <row r="7" spans="1:7">
      <c r="A7" s="196" t="s">
        <v>270</v>
      </c>
      <c r="B7">
        <v>66</v>
      </c>
      <c r="C7">
        <v>5.09</v>
      </c>
      <c r="D7">
        <v>3.25</v>
      </c>
      <c r="E7">
        <v>66</v>
      </c>
      <c r="F7">
        <v>5.33</v>
      </c>
      <c r="G7">
        <v>3.33</v>
      </c>
    </row>
    <row r="8" spans="1:7">
      <c r="A8" s="196" t="s">
        <v>1013</v>
      </c>
      <c r="B8">
        <v>14</v>
      </c>
      <c r="C8">
        <v>28.2</v>
      </c>
      <c r="D8">
        <v>5</v>
      </c>
      <c r="E8">
        <v>14</v>
      </c>
      <c r="F8">
        <v>23.9</v>
      </c>
      <c r="G8">
        <v>4.2</v>
      </c>
    </row>
    <row r="9" spans="1:7">
      <c r="A9" s="196" t="s">
        <v>116</v>
      </c>
      <c r="B9">
        <v>59</v>
      </c>
      <c r="C9">
        <v>5.28</v>
      </c>
      <c r="D9">
        <v>0.34</v>
      </c>
      <c r="E9">
        <v>59</v>
      </c>
      <c r="F9">
        <v>4.63</v>
      </c>
      <c r="G9">
        <v>0.39</v>
      </c>
    </row>
    <row r="10" spans="1:7">
      <c r="A10" s="196" t="s">
        <v>995</v>
      </c>
      <c r="B10">
        <v>50</v>
      </c>
      <c r="C10">
        <v>45.56</v>
      </c>
      <c r="D10">
        <v>12.15</v>
      </c>
      <c r="E10">
        <v>50</v>
      </c>
      <c r="F10">
        <v>51.42</v>
      </c>
      <c r="G10">
        <v>12.96</v>
      </c>
    </row>
    <row r="11" spans="1:7">
      <c r="A11" s="196" t="s">
        <v>1333</v>
      </c>
      <c r="B11" s="197">
        <v>26</v>
      </c>
      <c r="C11" s="197">
        <v>5.19</v>
      </c>
      <c r="D11" s="197">
        <v>1.18</v>
      </c>
      <c r="E11" s="197">
        <v>26</v>
      </c>
      <c r="F11" s="197">
        <v>9.08</v>
      </c>
      <c r="G11" s="197">
        <v>3.23</v>
      </c>
    </row>
    <row r="12" spans="1:7">
      <c r="A12" s="196" t="s">
        <v>1257</v>
      </c>
      <c r="B12">
        <v>28</v>
      </c>
      <c r="C12">
        <v>6.27</v>
      </c>
      <c r="D12">
        <v>1.94</v>
      </c>
      <c r="E12">
        <v>28</v>
      </c>
      <c r="F12">
        <v>5.7</v>
      </c>
      <c r="G12">
        <v>1.55</v>
      </c>
    </row>
    <row r="13" spans="1:7">
      <c r="A13" s="196" t="s">
        <v>1242</v>
      </c>
      <c r="B13">
        <v>28</v>
      </c>
      <c r="C13">
        <v>7.04</v>
      </c>
      <c r="D13">
        <v>2.85</v>
      </c>
      <c r="E13">
        <v>28</v>
      </c>
      <c r="F13">
        <v>6.55</v>
      </c>
      <c r="G13">
        <v>2.89</v>
      </c>
    </row>
    <row r="14" spans="1:7">
      <c r="A14" s="196" t="s">
        <v>286</v>
      </c>
      <c r="B14">
        <v>10</v>
      </c>
      <c r="C14">
        <v>43.78</v>
      </c>
      <c r="D14">
        <v>27.12</v>
      </c>
      <c r="E14">
        <v>30</v>
      </c>
      <c r="F14">
        <v>57.35</v>
      </c>
      <c r="G14">
        <v>30.03</v>
      </c>
    </row>
    <row r="15" spans="1:7">
      <c r="A15" s="196" t="s">
        <v>41</v>
      </c>
      <c r="B15">
        <v>102</v>
      </c>
      <c r="C15">
        <v>114.05</v>
      </c>
      <c r="D15">
        <v>27.45</v>
      </c>
      <c r="E15">
        <v>102</v>
      </c>
      <c r="F15">
        <v>109.62</v>
      </c>
      <c r="G15">
        <v>34.380000000000003</v>
      </c>
    </row>
    <row r="16" spans="1:7">
      <c r="A16" s="196" t="s">
        <v>95</v>
      </c>
      <c r="B16">
        <v>95</v>
      </c>
      <c r="C16">
        <v>29.88</v>
      </c>
      <c r="D16">
        <v>20.68</v>
      </c>
      <c r="E16">
        <v>95</v>
      </c>
      <c r="F16">
        <v>28.56</v>
      </c>
      <c r="G16">
        <v>15.18</v>
      </c>
    </row>
    <row r="17" spans="1:7">
      <c r="A17" s="196" t="s">
        <v>333</v>
      </c>
      <c r="B17">
        <v>38</v>
      </c>
      <c r="C17">
        <v>6.61</v>
      </c>
      <c r="D17">
        <v>0.8</v>
      </c>
      <c r="E17">
        <v>38</v>
      </c>
      <c r="F17">
        <v>13.22</v>
      </c>
      <c r="G17">
        <v>1.6</v>
      </c>
    </row>
    <row r="18" spans="1:7">
      <c r="A18" s="196" t="s">
        <v>248</v>
      </c>
      <c r="B18">
        <v>50</v>
      </c>
      <c r="C18">
        <v>20.27</v>
      </c>
      <c r="D18">
        <v>17.2</v>
      </c>
      <c r="E18">
        <v>50</v>
      </c>
      <c r="F18">
        <v>15.95</v>
      </c>
      <c r="G18">
        <v>15.43</v>
      </c>
    </row>
    <row r="19" spans="1:7">
      <c r="A19" s="196" t="s">
        <v>1412</v>
      </c>
      <c r="B19">
        <v>57</v>
      </c>
      <c r="C19">
        <v>4.3</v>
      </c>
      <c r="D19">
        <v>2.7</v>
      </c>
      <c r="E19">
        <v>57</v>
      </c>
      <c r="F19">
        <v>7.7</v>
      </c>
      <c r="G19">
        <v>2.6</v>
      </c>
    </row>
  </sheetData>
  <pageMargins left="0.511811024" right="0.511811024" top="0.78740157499999996" bottom="0.78740157499999996" header="0.31496062000000002" footer="0.3149606200000000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98AB7-D4DA-464E-AECA-6080A7FAE904}">
  <dimension ref="A1:G11"/>
  <sheetViews>
    <sheetView zoomScale="110" zoomScaleNormal="110" workbookViewId="0"/>
  </sheetViews>
  <sheetFormatPr baseColWidth="10" defaultRowHeight="16"/>
  <cols>
    <col min="1" max="1" width="19.6640625" customWidth="1"/>
    <col min="2" max="2" width="7.5" customWidth="1"/>
    <col min="5" max="5" width="7" customWidth="1"/>
  </cols>
  <sheetData>
    <row r="1" spans="1:7">
      <c r="A1" s="27" t="s">
        <v>1696</v>
      </c>
      <c r="B1" s="24" t="s">
        <v>222</v>
      </c>
      <c r="C1" s="24" t="s">
        <v>223</v>
      </c>
      <c r="D1" s="24" t="s">
        <v>224</v>
      </c>
      <c r="E1" s="24" t="s">
        <v>225</v>
      </c>
      <c r="F1" s="24" t="s">
        <v>226</v>
      </c>
      <c r="G1" s="24" t="s">
        <v>227</v>
      </c>
    </row>
    <row r="2" spans="1:7">
      <c r="A2" s="196" t="s">
        <v>299</v>
      </c>
      <c r="B2">
        <v>30</v>
      </c>
      <c r="C2">
        <v>2.63</v>
      </c>
      <c r="D2">
        <v>1.34</v>
      </c>
      <c r="E2">
        <v>30</v>
      </c>
      <c r="F2">
        <v>2.33</v>
      </c>
      <c r="G2">
        <v>1.18</v>
      </c>
    </row>
    <row r="3" spans="1:7">
      <c r="A3" s="196" t="s">
        <v>940</v>
      </c>
      <c r="B3">
        <v>23</v>
      </c>
      <c r="C3">
        <v>13.26</v>
      </c>
      <c r="D3">
        <v>4.22</v>
      </c>
      <c r="E3">
        <v>23</v>
      </c>
      <c r="F3">
        <v>16.559999999999999</v>
      </c>
      <c r="G3">
        <v>4.95</v>
      </c>
    </row>
    <row r="4" spans="1:7">
      <c r="A4" s="196" t="s">
        <v>360</v>
      </c>
      <c r="B4">
        <v>32</v>
      </c>
      <c r="C4">
        <v>352.51</v>
      </c>
      <c r="D4">
        <v>300.37</v>
      </c>
      <c r="E4">
        <v>32</v>
      </c>
      <c r="F4">
        <v>444.13</v>
      </c>
      <c r="G4">
        <v>323.63</v>
      </c>
    </row>
    <row r="5" spans="1:7">
      <c r="A5" s="196" t="s">
        <v>957</v>
      </c>
      <c r="B5">
        <v>54</v>
      </c>
      <c r="C5">
        <v>1.1599999999999999</v>
      </c>
      <c r="D5">
        <v>0.33</v>
      </c>
      <c r="E5">
        <v>54</v>
      </c>
      <c r="F5">
        <v>1</v>
      </c>
      <c r="G5">
        <v>0.28000000000000003</v>
      </c>
    </row>
    <row r="6" spans="1:7">
      <c r="A6" s="196" t="s">
        <v>1354</v>
      </c>
      <c r="B6">
        <v>10</v>
      </c>
      <c r="C6">
        <v>14.2</v>
      </c>
      <c r="D6">
        <v>24.6</v>
      </c>
      <c r="E6">
        <v>10</v>
      </c>
      <c r="F6">
        <v>19.8</v>
      </c>
      <c r="G6">
        <v>26.7</v>
      </c>
    </row>
    <row r="7" spans="1:7">
      <c r="A7" s="196" t="s">
        <v>1307</v>
      </c>
      <c r="B7">
        <v>14</v>
      </c>
      <c r="C7">
        <v>282.60000000000002</v>
      </c>
      <c r="D7">
        <v>247</v>
      </c>
      <c r="E7">
        <v>24</v>
      </c>
      <c r="F7">
        <v>241.7</v>
      </c>
      <c r="G7">
        <v>273</v>
      </c>
    </row>
    <row r="8" spans="1:7">
      <c r="A8" s="196" t="s">
        <v>1306</v>
      </c>
      <c r="B8">
        <v>31</v>
      </c>
      <c r="C8">
        <v>127.09</v>
      </c>
      <c r="D8">
        <v>34.26</v>
      </c>
      <c r="E8">
        <v>31</v>
      </c>
      <c r="F8">
        <v>54.93</v>
      </c>
      <c r="G8">
        <v>19.690000000000001</v>
      </c>
    </row>
    <row r="9" spans="1:7">
      <c r="A9" s="196" t="s">
        <v>286</v>
      </c>
      <c r="B9">
        <v>30</v>
      </c>
      <c r="C9">
        <v>351.7</v>
      </c>
      <c r="D9">
        <v>207.42</v>
      </c>
      <c r="E9">
        <v>30</v>
      </c>
      <c r="F9">
        <v>464.03</v>
      </c>
      <c r="G9">
        <v>202.86</v>
      </c>
    </row>
    <row r="10" spans="1:7">
      <c r="A10" s="196" t="s">
        <v>41</v>
      </c>
      <c r="B10">
        <v>102</v>
      </c>
      <c r="C10">
        <v>221.99</v>
      </c>
      <c r="D10">
        <v>73.209999999999994</v>
      </c>
      <c r="E10">
        <v>102</v>
      </c>
      <c r="F10">
        <v>252.17</v>
      </c>
      <c r="G10">
        <v>105.34</v>
      </c>
    </row>
    <row r="11" spans="1:7">
      <c r="A11" s="196" t="s">
        <v>95</v>
      </c>
      <c r="B11">
        <v>95</v>
      </c>
      <c r="C11">
        <v>30.75</v>
      </c>
      <c r="D11">
        <v>30.07</v>
      </c>
      <c r="E11">
        <v>95</v>
      </c>
      <c r="F11">
        <v>29.17</v>
      </c>
      <c r="G11">
        <v>16.22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36</vt:i4>
      </vt:variant>
    </vt:vector>
  </HeadingPairs>
  <TitlesOfParts>
    <vt:vector size="36" baseType="lpstr">
      <vt:lpstr>Table 1</vt:lpstr>
      <vt:lpstr>Figure References</vt:lpstr>
      <vt:lpstr>Supplementary Table S1</vt:lpstr>
      <vt:lpstr>Supplementary Table S2</vt:lpstr>
      <vt:lpstr>Supplementary Table S3</vt:lpstr>
      <vt:lpstr>kappa</vt:lpstr>
      <vt:lpstr>GRADE Evidence Profile</vt:lpstr>
      <vt:lpstr>MDDxHC</vt:lpstr>
      <vt:lpstr>Planilha1</vt:lpstr>
      <vt:lpstr>PLANILHA ARTIGO</vt:lpstr>
      <vt:lpstr>CYTOKINES</vt:lpstr>
      <vt:lpstr>AFTERxBEFORE</vt:lpstr>
      <vt:lpstr>MDDxHC IL-1B</vt:lpstr>
      <vt:lpstr>MDDxHC IL-2</vt:lpstr>
      <vt:lpstr>MDDxHC IL-4</vt:lpstr>
      <vt:lpstr>MDDxHC IL-5</vt:lpstr>
      <vt:lpstr>MDDxHC IL-6</vt:lpstr>
      <vt:lpstr>MDDxHC IL-8</vt:lpstr>
      <vt:lpstr>MDDxHC IL-10</vt:lpstr>
      <vt:lpstr>MDDxHC IL-13</vt:lpstr>
      <vt:lpstr>MDDxHC IFN-γ</vt:lpstr>
      <vt:lpstr>MDDxHC TNF-a</vt:lpstr>
      <vt:lpstr>AFTERxBEFORE IL-1B</vt:lpstr>
      <vt:lpstr>AFTERxBEFORE IL-2</vt:lpstr>
      <vt:lpstr>AFTERxBEFORE IL-4</vt:lpstr>
      <vt:lpstr>AFTERxBEFORE IL-5</vt:lpstr>
      <vt:lpstr>AFTERxBEFORE IL-6</vt:lpstr>
      <vt:lpstr>AFTERxBEFORE IL-8</vt:lpstr>
      <vt:lpstr>AFTERxBEFORE IL-10</vt:lpstr>
      <vt:lpstr>AFTERxBEFORE IL-13</vt:lpstr>
      <vt:lpstr>MIP-1a</vt:lpstr>
      <vt:lpstr>GM-CSF</vt:lpstr>
      <vt:lpstr>EOTAXIN-1</vt:lpstr>
      <vt:lpstr>CRP</vt:lpstr>
      <vt:lpstr>AFTERxBEFORE TNF-a</vt:lpstr>
      <vt:lpstr>AFTERxBEFORE IFN-γ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Otavio Cabral Marques Proc FAPESP 2018-18886-9</dc:creator>
  <cp:lastModifiedBy>Roseane Nava</cp:lastModifiedBy>
  <dcterms:created xsi:type="dcterms:W3CDTF">2024-05-21T15:17:58Z</dcterms:created>
  <dcterms:modified xsi:type="dcterms:W3CDTF">2026-07-21T15:43:47Z</dcterms:modified>
</cp:coreProperties>
</file>